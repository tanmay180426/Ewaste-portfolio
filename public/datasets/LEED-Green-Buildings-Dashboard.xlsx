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Chart Data" sheetId="3" state="visible" r:id="rId5"/>
    <sheet name="Source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<sst xmlns="http://schemas.openxmlformats.org/spreadsheetml/2006/main" count="245" uniqueCount="147">
  <si>
    <t xml:space="preserve">LEED Category Scorecard — Indian Green Buildings</t>
  </si>
  <si>
    <t xml:space="preserve">Ten certified projects scored category by category, plus a non-certified academic estimate for Vidyalankar Institute of Technology (VIT), Wadala.</t>
  </si>
  <si>
    <t xml:space="preserve">Buildings in dataset</t>
  </si>
  <si>
    <t xml:space="preserve">With a public category scorecard</t>
  </si>
  <si>
    <t xml:space="preserve">Avg. total score (those certified)</t>
  </si>
  <si>
    <t xml:space="preserve">VIT's estimated score (not certified)</t>
  </si>
  <si>
    <t xml:space="preserve">Category scores — heatmap (darker green = stronger)</t>
  </si>
  <si>
    <t xml:space="preserve">Building</t>
  </si>
  <si>
    <t xml:space="preserve">SS</t>
  </si>
  <si>
    <t xml:space="preserve">WE</t>
  </si>
  <si>
    <t xml:space="preserve">EA</t>
  </si>
  <si>
    <t xml:space="preserve">MR</t>
  </si>
  <si>
    <t xml:space="preserve">IEQ</t>
  </si>
  <si>
    <t xml:space="preserve">ID</t>
  </si>
  <si>
    <t xml:space="preserve">RP</t>
  </si>
  <si>
    <t xml:space="preserve">Source: "10 Indian Green Buildings — LEED Category Scores, with VIT" workbook. Four buildings (Indira Paryavaran Bhawan, Rajiv Gandhi International Airport, One Horizon Centre, Brigade Gateway) have documented LEED certification but no located public category scorecard — they appear in the rating count only, not in the score charts. VIT's figures are an academic estimate, not an official LEED certification — see the "Source Notes" tab. Full per-building sourcing notes and the VIT estimate basis are on the "Source Notes" tab; the underlying formulas are on the "Data" and "Chart Data" tabs.</t>
  </si>
  <si>
    <t xml:space="preserve">LEED Version</t>
  </si>
  <si>
    <t xml:space="preserve">Rating</t>
  </si>
  <si>
    <t xml:space="preserve">SS raw</t>
  </si>
  <si>
    <t xml:space="preserve">SS %</t>
  </si>
  <si>
    <t xml:space="preserve">WE raw</t>
  </si>
  <si>
    <t xml:space="preserve">WE %</t>
  </si>
  <si>
    <t xml:space="preserve">EA raw</t>
  </si>
  <si>
    <t xml:space="preserve">EA %</t>
  </si>
  <si>
    <t xml:space="preserve">MR raw</t>
  </si>
  <si>
    <t xml:space="preserve">MR %</t>
  </si>
  <si>
    <t xml:space="preserve">IEQ raw</t>
  </si>
  <si>
    <t xml:space="preserve">IEQ %</t>
  </si>
  <si>
    <t xml:space="preserve">ID raw</t>
  </si>
  <si>
    <t xml:space="preserve">ID %</t>
  </si>
  <si>
    <t xml:space="preserve">RP raw</t>
  </si>
  <si>
    <t xml:space="preserve">RP %</t>
  </si>
  <si>
    <t xml:space="preserve">Total raw</t>
  </si>
  <si>
    <t xml:space="preserve">Total %</t>
  </si>
  <si>
    <t xml:space="preserve">Verification note</t>
  </si>
  <si>
    <t xml:space="preserve">CII–Sohrabji Godrej Green Business Centre</t>
  </si>
  <si>
    <t xml:space="preserve">LEED v2.0</t>
  </si>
  <si>
    <t xml:space="preserve">Platinum</t>
  </si>
  <si>
    <t xml:space="preserve">11/14</t>
  </si>
  <si>
    <t xml:space="preserve">5/5</t>
  </si>
  <si>
    <t xml:space="preserve">13/17</t>
  </si>
  <si>
    <t xml:space="preserve">8/13</t>
  </si>
  <si>
    <t xml:space="preserve">14/15</t>
  </si>
  <si>
    <t xml:space="preserve">—</t>
  </si>
  <si>
    <t xml:space="preserve">56/69</t>
  </si>
  <si>
    <t xml:space="preserve">The original LEED v2 certification record shows 56/69 and the project scorecard provides category values. The category totals are legacy LEED v2 values.</t>
  </si>
  <si>
    <t xml:space="preserve">ITC Green Centre</t>
  </si>
  <si>
    <t xml:space="preserve">LEED NC v2.1</t>
  </si>
  <si>
    <t xml:space="preserve">10/14</t>
  </si>
  <si>
    <t xml:space="preserve">12/17</t>
  </si>
  <si>
    <t xml:space="preserve">12/15</t>
  </si>
  <si>
    <t xml:space="preserve">52/69</t>
  </si>
  <si>
    <t xml:space="preserve">A published technical summary reports 10/14 SS, 5/5 WE, 12/17 EA, 8/13 MR, 12/15 IEQ and 5/5 Innovation, total 52/69. Other secondary sources report 56/69, so the total-score history is inconsistent.</t>
  </si>
  <si>
    <t xml:space="preserve">Suzlon One Earth</t>
  </si>
  <si>
    <t xml:space="preserve">LEED-India NC</t>
  </si>
  <si>
    <t xml:space="preserve">10/13</t>
  </si>
  <si>
    <t xml:space="preserve">6/6</t>
  </si>
  <si>
    <t xml:space="preserve">14/17</t>
  </si>
  <si>
    <t xml:space="preserve">7/13</t>
  </si>
  <si>
    <t xml:space="preserve">15/15</t>
  </si>
  <si>
    <t xml:space="preserve">57/69</t>
  </si>
  <si>
    <t xml:space="preserve">A published LEED-India table reports SS 10/13, EA 14/17, WE 6/6, IEQ 15/15, MR 7/13, Innovation 5/5, total 57/69; other sources describe 57/58 applied. The workbook uses the category table.</t>
  </si>
  <si>
    <t xml:space="preserve">Indira Paryavaran Bhawan</t>
  </si>
  <si>
    <t xml:space="preserve">LEED India Platinum</t>
  </si>
  <si>
    <t xml:space="preserve">Not publicly reported</t>
  </si>
  <si>
    <t xml:space="preserve">LEED Platinum and GRIHA 5-Star are documented, but a complete public LEED category scorecard was not found in the sources checked.</t>
  </si>
  <si>
    <t xml:space="preserve">Infosys Mysuru – SDB-08</t>
  </si>
  <si>
    <t xml:space="preserve">LEED BD+C Core &amp; Shell v2009</t>
  </si>
  <si>
    <t xml:space="preserve">23/28</t>
  </si>
  <si>
    <t xml:space="preserve">10/10</t>
  </si>
  <si>
    <t xml:space="preserve">33/55</t>
  </si>
  <si>
    <t xml:space="preserve">6/13</t>
  </si>
  <si>
    <t xml:space="preserve">8/12</t>
  </si>
  <si>
    <t xml:space="preserve">5/6</t>
  </si>
  <si>
    <t xml:space="preserve">4/4</t>
  </si>
  <si>
    <t xml:space="preserve">89/110</t>
  </si>
  <si>
    <t xml:space="preserve">Published LEED scorecard gives 23/28 SS, 10/10 WE, 33/55 EA, 6/13 MR, 8/12 IEQ, 5/6 Innovation and 4/4 Regional Priority; total 89/110.</t>
  </si>
  <si>
    <t xml:space="preserve">DLF Cyber City – Centre Court Tower B</t>
  </si>
  <si>
    <t xml:space="preserve">LEED O+M Existing Buildings v2009</t>
  </si>
  <si>
    <t xml:space="preserve">Gold</t>
  </si>
  <si>
    <t xml:space="preserve">19/26</t>
  </si>
  <si>
    <t xml:space="preserve">2/14</t>
  </si>
  <si>
    <t xml:space="preserve">17/35</t>
  </si>
  <si>
    <t xml:space="preserve">3/10</t>
  </si>
  <si>
    <t xml:space="preserve">7/15</t>
  </si>
  <si>
    <t xml:space="preserve">4/6</t>
  </si>
  <si>
    <t xml:space="preserve">69/110</t>
  </si>
  <si>
    <t xml:space="preserve">Published LEED O+M scorecard gives 19/26 SS, 2/14 WE, 17/35 EA, 3/10 MR, 7/15 IEQ, 4/6 Innovation and 4/4 Regional Priority; total 69/110.</t>
  </si>
  <si>
    <t xml:space="preserve">Rajiv Gandhi International Airport</t>
  </si>
  <si>
    <t xml:space="preserve">LEED certification (project/version varies by source)</t>
  </si>
  <si>
    <t xml:space="preserve">LEED certification reported</t>
  </si>
  <si>
    <t xml:space="preserve">LEED certification is documented, but the exact project-specific category scorecard was not located.</t>
  </si>
  <si>
    <t xml:space="preserve">One Horizon Centre</t>
  </si>
  <si>
    <t xml:space="preserve">LEED Core &amp; Shell Platinum</t>
  </si>
  <si>
    <t xml:space="preserve">LEED Platinum certification is documented, but a project-specific category scorecard was not located.</t>
  </si>
  <si>
    <t xml:space="preserve">Godrej Bhavan, Mumbai</t>
  </si>
  <si>
    <t xml:space="preserve">LEED O+M v2</t>
  </si>
  <si>
    <t xml:space="preserve">7/12</t>
  </si>
  <si>
    <t xml:space="preserve">9/10</t>
  </si>
  <si>
    <t xml:space="preserve">18/30</t>
  </si>
  <si>
    <t xml:space="preserve">7/19</t>
  </si>
  <si>
    <t xml:space="preserve">5/7</t>
  </si>
  <si>
    <t xml:space="preserve">56/92</t>
  </si>
  <si>
    <t xml:space="preserve">GRIHA presentation reproduces LEED O+M v2 category values: 7/12 SS, 9/10 WE, 18/30 EA, 10/14 MR, 7/19 IEQ, 5/7 Innovation and 4/4 Regional Priority; total 56/92.</t>
  </si>
  <si>
    <t xml:space="preserve">Brigade Gateway</t>
  </si>
  <si>
    <t xml:space="preserve">Campus / multiple buildings and certifications</t>
  </si>
  <si>
    <t xml:space="preserve">Multiple certifications</t>
  </si>
  <si>
    <t xml:space="preserve">Brigade Gateway is a mixed-use campus with multiple assets/certifications, so there is no single campus-wide LEED category score to put into one row.</t>
  </si>
  <si>
    <t xml:space="preserve">Vidyalankar Institute of Technology, Wadala, Mumbai</t>
  </si>
  <si>
    <t xml:space="preserve">LEED v5-style academic estimate (NOT an official certification score)</t>
  </si>
  <si>
    <t xml:space="preserve">Estimated — not certified</t>
  </si>
  <si>
    <t xml:space="preserve">8/11</t>
  </si>
  <si>
    <t xml:space="preserve">6/9</t>
  </si>
  <si>
    <t xml:space="preserve">22/33</t>
  </si>
  <si>
    <t xml:space="preserve">10/18</t>
  </si>
  <si>
    <t xml:space="preserve">9/13</t>
  </si>
  <si>
    <t xml:space="preserve">6/10</t>
  </si>
  <si>
    <t xml:space="preserve">65/98</t>
  </si>
  <si>
    <t xml:space="preserve">ESTIMATE ONLY: VIT's official AQAR documents green-campus initiatives including restricted automobile entry, bicycles/battery-powered vehicles, pedestrian-friendly pathways, plastic ban, landscaping, and environmental/energy/green audits. These documented measures were used to create an academic-use indicative score. The numbers are NOT an official LEED score and should not be presented as certification results.</t>
  </si>
  <si>
    <t xml:space="preserve">Total score %</t>
  </si>
  <si>
    <t xml:space="preserve">CII–Godrej GBC</t>
  </si>
  <si>
    <t xml:space="preserve">Infosys Mysuru SDB-08</t>
  </si>
  <si>
    <t xml:space="preserve">DLF Cyber City Tower B</t>
  </si>
  <si>
    <t xml:space="preserve">VIT, Wadala (estimate)</t>
  </si>
  <si>
    <t xml:space="preserve">Category breakdown (%)</t>
  </si>
  <si>
    <t xml:space="preserve">Rating distribution</t>
  </si>
  <si>
    <t xml:space="preserve">Count</t>
  </si>
  <si>
    <t xml:space="preserve">Verification notes, by building</t>
  </si>
  <si>
    <t xml:space="preserve">VIT, Wadala — estimate basis by category</t>
  </si>
  <si>
    <t xml:space="preserve">Category</t>
  </si>
  <si>
    <t xml:space="preserve">Why this estimate was assigned</t>
  </si>
  <si>
    <t xml:space="preserve">Sustainable Sites</t>
  </si>
  <si>
    <t xml:space="preserve">Strong documented green-campus measures: pedestrian pathways, restricted automobiles, landscaping, and sustainable mobility.</t>
  </si>
  <si>
    <t xml:space="preserve">Water Efficiency</t>
  </si>
  <si>
    <t xml:space="preserve">Moderate estimate because public documents reviewed confirm environmental initiatives but do not provide a complete water-performance scorecard.</t>
  </si>
  <si>
    <t xml:space="preserve">Energy &amp; Atmosphere</t>
  </si>
  <si>
    <t xml:space="preserve">VIT reports energy/environment audits; the estimate assumes meaningful energy-management practices but no verified LEED energy model was found.</t>
  </si>
  <si>
    <t xml:space="preserve">Materials &amp; Resources</t>
  </si>
  <si>
    <t xml:space="preserve">Moderate estimate; plastic-ban and waste/environment initiatives support the category, but a full materials scorecard was not found.</t>
  </si>
  <si>
    <t xml:space="preserve">Indoor Environmental Quality</t>
  </si>
  <si>
    <t xml:space="preserve">Indicative score based on modern campus infrastructure and environmental focus; no LEED IEQ scorecard was found.</t>
  </si>
  <si>
    <t xml:space="preserve">Project Priorities / Innovation proxy</t>
  </si>
  <si>
    <t xml:space="preserve">Indicative score reflecting documented sustainability initiatives and green-campus practices.</t>
  </si>
  <si>
    <t xml:space="preserve">Regional Priority proxy</t>
  </si>
  <si>
    <t xml:space="preserve">Academic-use estimate only; not an official LEED Regional Priority score.</t>
  </si>
  <si>
    <t xml:space="preserve">Total</t>
  </si>
  <si>
    <t xml:space="preserve">Arithmetic total of the above estimated fields. It is NOT a LEED certification score.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</si>
</sst>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BFD7EA"/>
      <name val="Arial"/>
      <family val="0"/>
      <charset val="1"/>
    </font>
    <font>
      <b val="true"/>
      <sz val="24"/>
      <color rgb="FF0E1D38"/>
      <name val="Arial"/>
      <family val="0"/>
      <charset val="1"/>
    </font>
    <font>
      <sz val="9"/>
      <color rgb="FF5B6472"/>
      <name val="Arial"/>
      <family val="0"/>
      <charset val="1"/>
    </font>
    <font>
      <b val="true"/>
      <sz val="13"/>
      <color rgb="FF0E1D3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B2333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1D38"/>
        <bgColor rgb="FF1B2333"/>
      </patternFill>
    </fill>
    <fill>
      <patternFill patternType="solid">
        <fgColor rgb="FFFFFFFE"/>
        <bgColor rgb="FFFFFFFF"/>
      </patternFill>
    </fill>
    <fill>
      <patternFill patternType="solid">
        <fgColor rgb="FF16294A"/>
        <bgColor rgb="FF1B2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4B4"/>
      </left>
      <right style="thin">
        <color rgb="FFC9C4B4"/>
      </right>
      <top style="thin">
        <color rgb="FFC9C4B4"/>
      </top>
      <bottom style="thin">
        <color rgb="FFC9C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4B4"/>
      <rgbColor rgb="FF878787"/>
      <rgbColor rgb="FF9999FF"/>
      <rgbColor rgb="FF9F423F"/>
      <rgbColor rgb="FFF9F9F9"/>
      <rgbColor rgb="FFFFFFFE"/>
      <rgbColor rgb="FF660066"/>
      <rgbColor rgb="FFCC8785"/>
      <rgbColor rgb="FF0066CC"/>
      <rgbColor rgb="FFBFD7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D8AAA9"/>
      <rgbColor rgb="FFCC99FF"/>
      <rgbColor rgb="FFE3C5C5"/>
      <rgbColor rgb="FF4F81BD"/>
      <rgbColor rgb="FF4BACC6"/>
      <rgbColor rgb="FF9BBB59"/>
      <rgbColor rgb="FFFFCC00"/>
      <rgbColor rgb="FFFF9900"/>
      <rgbColor rgb="FFC0504D"/>
      <rgbColor rgb="FF5B6472"/>
      <rgbColor rgb="FF8064A2"/>
      <rgbColor rgb="FF16294A"/>
      <rgbColor rgb="FF339966"/>
      <rgbColor rgb="FF0E1D38"/>
      <rgbColor rgb="FF333300"/>
      <rgbColor rgb="FFB04946"/>
      <rgbColor rgb="FF8A3937"/>
      <rgbColor rgb="FF333399"/>
      <rgbColor rgb="FF1B2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score, as % of possible points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 Data'!B1</c:f>
              <c:strCache>
                <c:ptCount val="1"/>
                <c:pt idx="0">
                  <c:v>Total score %</c:v>
                </c:pt>
              </c:strCache>
            </c:strRef>
          </c:tx>
          <c:spPr>
            <a:solidFill>
              <a:srgbClr val="1629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Data'!$A$2:$A$8</c:f>
              <c:strCache>
                <c:ptCount val="7"/>
                <c:pt idx="0">
                  <c:v>Suzlon One Earth</c:v>
                </c:pt>
                <c:pt idx="1">
                  <c:v>CII–Godrej GBC</c:v>
                </c:pt>
                <c:pt idx="2">
                  <c:v>Infosys Mysuru SDB-08</c:v>
                </c:pt>
                <c:pt idx="3">
                  <c:v>ITC Green Centre</c:v>
                </c:pt>
                <c:pt idx="4">
                  <c:v>DLF Cyber City Tower B</c:v>
                </c:pt>
                <c:pt idx="5">
                  <c:v>Godrej Bhavan, Mumbai</c:v>
                </c:pt>
                <c:pt idx="6">
                  <c:v>VIT, Wadala (estimate)</c:v>
                </c:pt>
              </c:strCache>
            </c:strRef>
          </c:cat>
          <c:val>
            <c:numRef>
              <c:f>'Chart Data'!$B$2:$B$8</c:f>
              <c:numCache>
                <c:formatCode>0.0%</c:formatCode>
                <c:ptCount val="7"/>
                <c:pt idx="0">
                  <c:v>0.826086956521739</c:v>
                </c:pt>
                <c:pt idx="1">
                  <c:v>0.811594202898551</c:v>
                </c:pt>
                <c:pt idx="2">
                  <c:v>0.809090909090909</c:v>
                </c:pt>
                <c:pt idx="3">
                  <c:v>0.753623188405797</c:v>
                </c:pt>
                <c:pt idx="4">
                  <c:v>0.627272727272727</c:v>
                </c:pt>
                <c:pt idx="5">
                  <c:v>0.608695652173913</c:v>
                </c:pt>
                <c:pt idx="6">
                  <c:v>0.663265306122449</c:v>
                </c:pt>
              </c:numCache>
            </c:numRef>
          </c:val>
        </c:ser>
        <c:gapWidth val="150"/>
        <c:overlap val="0"/>
        <c:axId val="65503232"/>
        <c:axId val="59361740"/>
      </c:barChart>
      <c:catAx>
        <c:axId val="6550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61740"/>
        <c:crosses val="autoZero"/>
        <c:auto val="1"/>
        <c:lblAlgn val="ctr"/>
        <c:lblOffset val="100"/>
        <c:noMultiLvlLbl val="0"/>
      </c:catAx>
      <c:valAx>
        <c:axId val="593617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032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distribution (all 11)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'Chart Data'!B23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'Chart Data'!$A$24:$A$28</c:f>
              <c:strCache>
                <c:ptCount val="5"/>
                <c:pt idx="0">
                  <c:v>Platinum</c:v>
                </c:pt>
                <c:pt idx="1">
                  <c:v>Gold</c:v>
                </c:pt>
                <c:pt idx="2">
                  <c:v>LEED certification reported</c:v>
                </c:pt>
                <c:pt idx="3">
                  <c:v>Multiple certifications</c:v>
                </c:pt>
                <c:pt idx="4">
                  <c:v>Estimated — not certified</c:v>
                </c:pt>
              </c:strCache>
            </c:strRef>
          </c:cat>
          <c:val>
            <c:numRef>
              <c:f>'Chart Data'!$B$24:$B$28</c:f>
              <c:numCache>
                <c:formatCode>General</c:formatCode>
                <c:ptCount val="5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 breakdown, by building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Data'!B12</c:f>
              <c:strCache>
                <c:ptCount val="1"/>
                <c:pt idx="0">
                  <c:v>SS</c:v>
                </c:pt>
              </c:strCache>
            </c:strRef>
          </c:tx>
          <c:spPr>
            <a:solidFill>
              <a:srgbClr val="8a393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Data'!$A$13:$A$19</c:f>
              <c:strCache>
                <c:ptCount val="7"/>
                <c:pt idx="0">
                  <c:v>Suzlon One Earth</c:v>
                </c:pt>
                <c:pt idx="1">
                  <c:v>CII–Godrej GBC</c:v>
                </c:pt>
                <c:pt idx="2">
                  <c:v>Infosys Mysuru SDB-08</c:v>
                </c:pt>
                <c:pt idx="3">
                  <c:v>ITC Green Centre</c:v>
                </c:pt>
                <c:pt idx="4">
                  <c:v>DLF Cyber City Tower B</c:v>
                </c:pt>
                <c:pt idx="5">
                  <c:v>Godrej Bhavan, Mumbai</c:v>
                </c:pt>
                <c:pt idx="6">
                  <c:v>VIT, Wadala (estimate)</c:v>
                </c:pt>
              </c:strCache>
            </c:strRef>
          </c:cat>
          <c:val>
            <c:numRef>
              <c:f>'Chart Data'!$B$13:$B$19</c:f>
              <c:numCache>
                <c:formatCode>0%</c:formatCode>
                <c:ptCount val="7"/>
                <c:pt idx="0">
                  <c:v>0.769230769230769</c:v>
                </c:pt>
                <c:pt idx="1">
                  <c:v>0.785714285714286</c:v>
                </c:pt>
                <c:pt idx="2">
                  <c:v>0.821428571428571</c:v>
                </c:pt>
                <c:pt idx="3">
                  <c:v>0.714285714285714</c:v>
                </c:pt>
                <c:pt idx="4">
                  <c:v>0.730769230769231</c:v>
                </c:pt>
                <c:pt idx="5">
                  <c:v>0.583333333333333</c:v>
                </c:pt>
                <c:pt idx="6">
                  <c:v>0.727272727272727</c:v>
                </c:pt>
              </c:numCache>
            </c:numRef>
          </c:val>
        </c:ser>
        <c:ser>
          <c:idx val="1"/>
          <c:order val="1"/>
          <c:tx>
            <c:strRef>
              <c:f>'Chart Data'!C12</c:f>
              <c:strCache>
                <c:ptCount val="1"/>
                <c:pt idx="0">
                  <c:v>WE</c:v>
                </c:pt>
              </c:strCache>
            </c:strRef>
          </c:tx>
          <c:spPr>
            <a:solidFill>
              <a:srgbClr val="9f423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Data'!$A$13:$A$19</c:f>
              <c:strCache>
                <c:ptCount val="7"/>
                <c:pt idx="0">
                  <c:v>Suzlon One Earth</c:v>
                </c:pt>
                <c:pt idx="1">
                  <c:v>CII–Godrej GBC</c:v>
                </c:pt>
                <c:pt idx="2">
                  <c:v>Infosys Mysuru SDB-08</c:v>
                </c:pt>
                <c:pt idx="3">
                  <c:v>ITC Green Centre</c:v>
                </c:pt>
                <c:pt idx="4">
                  <c:v>DLF Cyber City Tower B</c:v>
                </c:pt>
                <c:pt idx="5">
                  <c:v>Godrej Bhavan, Mumbai</c:v>
                </c:pt>
                <c:pt idx="6">
                  <c:v>VIT, Wadala (estimate)</c:v>
                </c:pt>
              </c:strCache>
            </c:strRef>
          </c:cat>
          <c:val>
            <c:numRef>
              <c:f>'Chart Data'!$C$13:$C$19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0.142857142857143</c:v>
                </c:pt>
                <c:pt idx="5">
                  <c:v>0.9</c:v>
                </c:pt>
                <c:pt idx="6">
                  <c:v>0.666666666666667</c:v>
                </c:pt>
              </c:numCache>
            </c:numRef>
          </c:val>
        </c:ser>
        <c:ser>
          <c:idx val="2"/>
          <c:order val="2"/>
          <c:tx>
            <c:strRef>
              <c:f>'Chart Data'!D12</c:f>
              <c:strCache>
                <c:ptCount val="1"/>
                <c:pt idx="0">
                  <c:v>EA</c:v>
                </c:pt>
              </c:strCache>
            </c:strRef>
          </c:tx>
          <c:spPr>
            <a:solidFill>
              <a:srgbClr val="b049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Data'!$A$13:$A$19</c:f>
              <c:strCache>
                <c:ptCount val="7"/>
                <c:pt idx="0">
                  <c:v>Suzlon One Earth</c:v>
                </c:pt>
                <c:pt idx="1">
                  <c:v>CII–Godrej GBC</c:v>
                </c:pt>
                <c:pt idx="2">
                  <c:v>Infosys Mysuru SDB-08</c:v>
                </c:pt>
                <c:pt idx="3">
                  <c:v>ITC Green Centre</c:v>
                </c:pt>
                <c:pt idx="4">
                  <c:v>DLF Cyber City Tower B</c:v>
                </c:pt>
                <c:pt idx="5">
                  <c:v>Godrej Bhavan, Mumbai</c:v>
                </c:pt>
                <c:pt idx="6">
                  <c:v>VIT, Wadala (estimate)</c:v>
                </c:pt>
              </c:strCache>
            </c:strRef>
          </c:cat>
          <c:val>
            <c:numRef>
              <c:f>'Chart Data'!$D$13:$D$19</c:f>
              <c:numCache>
                <c:formatCode>0%</c:formatCode>
                <c:ptCount val="7"/>
                <c:pt idx="0">
                  <c:v>0.823529411764706</c:v>
                </c:pt>
                <c:pt idx="1">
                  <c:v>0.764705882352941</c:v>
                </c:pt>
                <c:pt idx="2">
                  <c:v>0.6</c:v>
                </c:pt>
                <c:pt idx="3">
                  <c:v>0.705882352941177</c:v>
                </c:pt>
                <c:pt idx="4">
                  <c:v>0.485714285714286</c:v>
                </c:pt>
                <c:pt idx="5">
                  <c:v>0.6</c:v>
                </c:pt>
                <c:pt idx="6">
                  <c:v>0.666666666666667</c:v>
                </c:pt>
              </c:numCache>
            </c:numRef>
          </c:val>
        </c:ser>
        <c:ser>
          <c:idx val="3"/>
          <c:order val="3"/>
          <c:tx>
            <c:strRef>
              <c:f>'Chart Data'!E12</c:f>
              <c:strCache>
                <c:ptCount val="1"/>
                <c:pt idx="0">
                  <c:v>MR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Data'!$A$13:$A$19</c:f>
              <c:strCache>
                <c:ptCount val="7"/>
                <c:pt idx="0">
                  <c:v>Suzlon One Earth</c:v>
                </c:pt>
                <c:pt idx="1">
                  <c:v>CII–Godrej GBC</c:v>
                </c:pt>
                <c:pt idx="2">
                  <c:v>Infosys Mysuru SDB-08</c:v>
                </c:pt>
                <c:pt idx="3">
                  <c:v>ITC Green Centre</c:v>
                </c:pt>
                <c:pt idx="4">
                  <c:v>DLF Cyber City Tower B</c:v>
                </c:pt>
                <c:pt idx="5">
                  <c:v>Godrej Bhavan, Mumbai</c:v>
                </c:pt>
                <c:pt idx="6">
                  <c:v>VIT, Wadala (estimate)</c:v>
                </c:pt>
              </c:strCache>
            </c:strRef>
          </c:cat>
          <c:val>
            <c:numRef>
              <c:f>'Chart Data'!$E$13:$E$19</c:f>
              <c:numCache>
                <c:formatCode>0%</c:formatCode>
                <c:ptCount val="7"/>
                <c:pt idx="0">
                  <c:v>0.538461538461538</c:v>
                </c:pt>
                <c:pt idx="1">
                  <c:v>0.615384615384615</c:v>
                </c:pt>
                <c:pt idx="2">
                  <c:v>0.461538461538462</c:v>
                </c:pt>
                <c:pt idx="3">
                  <c:v>0.615384615384615</c:v>
                </c:pt>
                <c:pt idx="4">
                  <c:v>0.3</c:v>
                </c:pt>
                <c:pt idx="5">
                  <c:v>0.714285714285714</c:v>
                </c:pt>
                <c:pt idx="6">
                  <c:v>0.555555555555556</c:v>
                </c:pt>
              </c:numCache>
            </c:numRef>
          </c:val>
        </c:ser>
        <c:ser>
          <c:idx val="4"/>
          <c:order val="4"/>
          <c:tx>
            <c:strRef>
              <c:f>'Chart Data'!F12</c:f>
              <c:strCache>
                <c:ptCount val="1"/>
                <c:pt idx="0">
                  <c:v>IEQ</c:v>
                </c:pt>
              </c:strCache>
            </c:strRef>
          </c:tx>
          <c:spPr>
            <a:solidFill>
              <a:srgbClr val="cc878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Data'!$A$13:$A$19</c:f>
              <c:strCache>
                <c:ptCount val="7"/>
                <c:pt idx="0">
                  <c:v>Suzlon One Earth</c:v>
                </c:pt>
                <c:pt idx="1">
                  <c:v>CII–Godrej GBC</c:v>
                </c:pt>
                <c:pt idx="2">
                  <c:v>Infosys Mysuru SDB-08</c:v>
                </c:pt>
                <c:pt idx="3">
                  <c:v>ITC Green Centre</c:v>
                </c:pt>
                <c:pt idx="4">
                  <c:v>DLF Cyber City Tower B</c:v>
                </c:pt>
                <c:pt idx="5">
                  <c:v>Godrej Bhavan, Mumbai</c:v>
                </c:pt>
                <c:pt idx="6">
                  <c:v>VIT, Wadala (estimate)</c:v>
                </c:pt>
              </c:strCache>
            </c:strRef>
          </c:cat>
          <c:val>
            <c:numRef>
              <c:f>'Chart Data'!$F$13:$F$19</c:f>
              <c:numCache>
                <c:formatCode>0%</c:formatCode>
                <c:ptCount val="7"/>
                <c:pt idx="0">
                  <c:v>1</c:v>
                </c:pt>
                <c:pt idx="1">
                  <c:v>0.933333333333333</c:v>
                </c:pt>
                <c:pt idx="2">
                  <c:v>0.666666666666667</c:v>
                </c:pt>
                <c:pt idx="3">
                  <c:v>0.8</c:v>
                </c:pt>
                <c:pt idx="4">
                  <c:v>0.466666666666667</c:v>
                </c:pt>
                <c:pt idx="5">
                  <c:v>0.368421052631579</c:v>
                </c:pt>
                <c:pt idx="6">
                  <c:v>0.692307692307692</c:v>
                </c:pt>
              </c:numCache>
            </c:numRef>
          </c:val>
        </c:ser>
        <c:ser>
          <c:idx val="5"/>
          <c:order val="5"/>
          <c:tx>
            <c:strRef>
              <c:f>'Chart Data'!G12</c:f>
              <c:strCache>
                <c:ptCount val="1"/>
                <c:pt idx="0">
                  <c:v>ID</c:v>
                </c:pt>
              </c:strCache>
            </c:strRef>
          </c:tx>
          <c:spPr>
            <a:solidFill>
              <a:srgbClr val="d8aaa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Data'!$A$13:$A$19</c:f>
              <c:strCache>
                <c:ptCount val="7"/>
                <c:pt idx="0">
                  <c:v>Suzlon One Earth</c:v>
                </c:pt>
                <c:pt idx="1">
                  <c:v>CII–Godrej GBC</c:v>
                </c:pt>
                <c:pt idx="2">
                  <c:v>Infosys Mysuru SDB-08</c:v>
                </c:pt>
                <c:pt idx="3">
                  <c:v>ITC Green Centre</c:v>
                </c:pt>
                <c:pt idx="4">
                  <c:v>DLF Cyber City Tower B</c:v>
                </c:pt>
                <c:pt idx="5">
                  <c:v>Godrej Bhavan, Mumbai</c:v>
                </c:pt>
                <c:pt idx="6">
                  <c:v>VIT, Wadala (estimate)</c:v>
                </c:pt>
              </c:strCache>
            </c:strRef>
          </c:cat>
          <c:val>
            <c:numRef>
              <c:f>'Chart Data'!$G$13:$G$19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0.833333333333333</c:v>
                </c:pt>
                <c:pt idx="3">
                  <c:v>1</c:v>
                </c:pt>
                <c:pt idx="4">
                  <c:v>0.666666666666667</c:v>
                </c:pt>
                <c:pt idx="5">
                  <c:v>0.714285714285714</c:v>
                </c:pt>
                <c:pt idx="6">
                  <c:v>0.6</c:v>
                </c:pt>
              </c:numCache>
            </c:numRef>
          </c:val>
        </c:ser>
        <c:ser>
          <c:idx val="6"/>
          <c:order val="6"/>
          <c:tx>
            <c:strRef>
              <c:f>'Chart Data'!H12</c:f>
              <c:strCache>
                <c:ptCount val="1"/>
                <c:pt idx="0">
                  <c:v>RP</c:v>
                </c:pt>
              </c:strCache>
            </c:strRef>
          </c:tx>
          <c:spPr>
            <a:solidFill>
              <a:srgbClr val="e3c5c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Data'!$A$13:$A$19</c:f>
              <c:strCache>
                <c:ptCount val="7"/>
                <c:pt idx="0">
                  <c:v>Suzlon One Earth</c:v>
                </c:pt>
                <c:pt idx="1">
                  <c:v>CII–Godrej GBC</c:v>
                </c:pt>
                <c:pt idx="2">
                  <c:v>Infosys Mysuru SDB-08</c:v>
                </c:pt>
                <c:pt idx="3">
                  <c:v>ITC Green Centre</c:v>
                </c:pt>
                <c:pt idx="4">
                  <c:v>DLF Cyber City Tower B</c:v>
                </c:pt>
                <c:pt idx="5">
                  <c:v>Godrej Bhavan, Mumbai</c:v>
                </c:pt>
                <c:pt idx="6">
                  <c:v>VIT, Wadala (estimate)</c:v>
                </c:pt>
              </c:strCache>
            </c:strRef>
          </c:cat>
          <c:val>
            <c:numRef>
              <c:f>'Chart Data'!$H$13:$H$19</c:f>
              <c:numCache>
                <c:formatCode>0%</c:formatCode>
                <c:ptCount val="7"/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94009021"/>
        <c:axId val="39399941"/>
      </c:barChart>
      <c:catAx>
        <c:axId val="940090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99941"/>
        <c:crosses val="autoZero"/>
        <c:auto val="1"/>
        <c:lblAlgn val="ctr"/>
        <c:lblOffset val="100"/>
        <c:noMultiLvlLbl val="0"/>
      </c:catAx>
      <c:valAx>
        <c:axId val="393999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090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11</xdr:col>
      <xdr:colOff>340920</xdr:colOff>
      <xdr:row>27</xdr:row>
      <xdr:rowOff>1080</xdr:rowOff>
    </xdr:to>
    <xdr:graphicFrame>
      <xdr:nvGraphicFramePr>
        <xdr:cNvPr id="0" name="Chart 1"/>
        <xdr:cNvGraphicFramePr/>
      </xdr:nvGraphicFramePr>
      <xdr:xfrm>
        <a:off x="211320" y="24955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15</xdr:col>
      <xdr:colOff>278640</xdr:colOff>
      <xdr:row>27</xdr:row>
      <xdr:rowOff>1080</xdr:rowOff>
    </xdr:to>
    <xdr:graphicFrame>
      <xdr:nvGraphicFramePr>
        <xdr:cNvPr id="1" name="Chart 2"/>
        <xdr:cNvGraphicFramePr/>
      </xdr:nvGraphicFramePr>
      <xdr:xfrm>
        <a:off x="4834080" y="2495520"/>
        <a:ext cx="37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552960</xdr:colOff>
      <xdr:row>46</xdr:row>
      <xdr:rowOff>170640</xdr:rowOff>
    </xdr:to>
    <xdr:graphicFrame>
      <xdr:nvGraphicFramePr>
        <xdr:cNvPr id="2" name="Chart 3"/>
        <xdr:cNvGraphicFramePr/>
      </xdr:nvGraphicFramePr>
      <xdr:xfrm>
        <a:off x="211320" y="5924520"/>
        <a:ext cx="98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4" min="2" style="0" width="8.2"/>
  </cols>
  <sheetData>
    <row r="2" customFormat="false" ht="21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1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9.5" hidden="false" customHeight="true" outlineLevel="0" collapsed="false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6" customFormat="false" ht="33.75" hidden="false" customHeight="true" outlineLevel="0" collapsed="false">
      <c r="B6" s="4" t="n">
        <f aca="false">COUNTA(Data!A2:A12)</f>
        <v>11</v>
      </c>
      <c r="C6" s="4"/>
      <c r="D6" s="4"/>
      <c r="E6" s="4" t="n">
        <f aca="false">COUNT(Data!S2:S12)-1</f>
        <v>6</v>
      </c>
      <c r="F6" s="4"/>
      <c r="G6" s="4"/>
      <c r="H6" s="5" t="n">
        <f aca="false">AVERAGE(Data!S2:S11)</f>
        <v>0.739393939393939</v>
      </c>
      <c r="I6" s="5"/>
      <c r="J6" s="5"/>
      <c r="K6" s="5" t="n">
        <f aca="false">Data!S12</f>
        <v>0.663265306122449</v>
      </c>
      <c r="L6" s="5"/>
      <c r="M6" s="5"/>
    </row>
    <row r="7" customFormat="false" ht="9.75" hidden="false" customHeight="true" outlineLevel="0" collapsed="false">
      <c r="B7" s="4"/>
      <c r="C7" s="4"/>
      <c r="D7" s="4"/>
      <c r="E7" s="4"/>
      <c r="F7" s="4"/>
      <c r="G7" s="4"/>
      <c r="H7" s="5"/>
      <c r="I7" s="5"/>
      <c r="J7" s="5"/>
      <c r="K7" s="5"/>
      <c r="L7" s="5"/>
      <c r="M7" s="5"/>
    </row>
    <row r="8" customFormat="false" ht="30" hidden="false" customHeight="true" outlineLevel="0" collapsed="false">
      <c r="B8" s="6" t="s">
        <v>2</v>
      </c>
      <c r="C8" s="6"/>
      <c r="D8" s="6"/>
      <c r="E8" s="6" t="s">
        <v>3</v>
      </c>
      <c r="F8" s="6"/>
      <c r="G8" s="6"/>
      <c r="H8" s="6" t="s">
        <v>4</v>
      </c>
      <c r="I8" s="6"/>
      <c r="J8" s="6"/>
      <c r="K8" s="6" t="s">
        <v>5</v>
      </c>
      <c r="L8" s="6"/>
      <c r="M8" s="6"/>
    </row>
    <row r="51" customFormat="false" ht="16.15" hidden="false" customHeight="false" outlineLevel="0" collapsed="false">
      <c r="B51" s="7" t="s">
        <v>6</v>
      </c>
    </row>
    <row r="52" customFormat="false" ht="15" hidden="false" customHeight="false" outlineLevel="0" collapsed="false">
      <c r="B52" s="8" t="s">
        <v>7</v>
      </c>
      <c r="C52" s="9" t="s">
        <v>8</v>
      </c>
      <c r="D52" s="9" t="s">
        <v>9</v>
      </c>
      <c r="E52" s="9" t="s">
        <v>10</v>
      </c>
      <c r="F52" s="9" t="s">
        <v>11</v>
      </c>
      <c r="G52" s="9" t="s">
        <v>12</v>
      </c>
      <c r="H52" s="9" t="s">
        <v>13</v>
      </c>
      <c r="I52" s="9" t="s">
        <v>14</v>
      </c>
    </row>
    <row r="53" customFormat="false" ht="15" hidden="false" customHeight="false" outlineLevel="0" collapsed="false">
      <c r="B53" s="10" t="str">
        <f aca="false">'Chart Data'!A13</f>
        <v>Suzlon One Earth</v>
      </c>
      <c r="C53" s="11" t="n">
        <f aca="false">'Chart Data'!B13</f>
        <v>0.769230769230769</v>
      </c>
      <c r="D53" s="11" t="n">
        <f aca="false">'Chart Data'!C13</f>
        <v>1</v>
      </c>
      <c r="E53" s="11" t="n">
        <f aca="false">'Chart Data'!D13</f>
        <v>0.823529411764706</v>
      </c>
      <c r="F53" s="11" t="n">
        <f aca="false">'Chart Data'!E13</f>
        <v>0.538461538461538</v>
      </c>
      <c r="G53" s="11" t="n">
        <f aca="false">'Chart Data'!F13</f>
        <v>1</v>
      </c>
      <c r="H53" s="11" t="n">
        <f aca="false">'Chart Data'!G13</f>
        <v>1</v>
      </c>
      <c r="I53" s="11" t="str">
        <f aca="false">'Chart Data'!H13</f>
        <v/>
      </c>
    </row>
    <row r="54" customFormat="false" ht="15" hidden="false" customHeight="false" outlineLevel="0" collapsed="false">
      <c r="B54" s="10" t="str">
        <f aca="false">'Chart Data'!A14</f>
        <v>CII–Godrej GBC</v>
      </c>
      <c r="C54" s="11" t="n">
        <f aca="false">'Chart Data'!B14</f>
        <v>0.785714285714286</v>
      </c>
      <c r="D54" s="11" t="n">
        <f aca="false">'Chart Data'!C14</f>
        <v>1</v>
      </c>
      <c r="E54" s="11" t="n">
        <f aca="false">'Chart Data'!D14</f>
        <v>0.764705882352941</v>
      </c>
      <c r="F54" s="11" t="n">
        <f aca="false">'Chart Data'!E14</f>
        <v>0.615384615384615</v>
      </c>
      <c r="G54" s="11" t="n">
        <f aca="false">'Chart Data'!F14</f>
        <v>0.933333333333333</v>
      </c>
      <c r="H54" s="11" t="n">
        <f aca="false">'Chart Data'!G14</f>
        <v>1</v>
      </c>
      <c r="I54" s="11" t="str">
        <f aca="false">'Chart Data'!H14</f>
        <v/>
      </c>
    </row>
    <row r="55" customFormat="false" ht="15" hidden="false" customHeight="false" outlineLevel="0" collapsed="false">
      <c r="B55" s="10" t="str">
        <f aca="false">'Chart Data'!A15</f>
        <v>Infosys Mysuru SDB-08</v>
      </c>
      <c r="C55" s="11" t="n">
        <f aca="false">'Chart Data'!B15</f>
        <v>0.821428571428571</v>
      </c>
      <c r="D55" s="11" t="n">
        <f aca="false">'Chart Data'!C15</f>
        <v>1</v>
      </c>
      <c r="E55" s="11" t="n">
        <f aca="false">'Chart Data'!D15</f>
        <v>0.6</v>
      </c>
      <c r="F55" s="11" t="n">
        <f aca="false">'Chart Data'!E15</f>
        <v>0.461538461538462</v>
      </c>
      <c r="G55" s="11" t="n">
        <f aca="false">'Chart Data'!F15</f>
        <v>0.666666666666667</v>
      </c>
      <c r="H55" s="11" t="n">
        <f aca="false">'Chart Data'!G15</f>
        <v>0.833333333333333</v>
      </c>
      <c r="I55" s="11" t="n">
        <f aca="false">'Chart Data'!H15</f>
        <v>1</v>
      </c>
    </row>
    <row r="56" customFormat="false" ht="15" hidden="false" customHeight="false" outlineLevel="0" collapsed="false">
      <c r="B56" s="10" t="str">
        <f aca="false">'Chart Data'!A16</f>
        <v>ITC Green Centre</v>
      </c>
      <c r="C56" s="11" t="n">
        <f aca="false">'Chart Data'!B16</f>
        <v>0.714285714285714</v>
      </c>
      <c r="D56" s="11" t="n">
        <f aca="false">'Chart Data'!C16</f>
        <v>1</v>
      </c>
      <c r="E56" s="11" t="n">
        <f aca="false">'Chart Data'!D16</f>
        <v>0.705882352941177</v>
      </c>
      <c r="F56" s="11" t="n">
        <f aca="false">'Chart Data'!E16</f>
        <v>0.615384615384615</v>
      </c>
      <c r="G56" s="11" t="n">
        <f aca="false">'Chart Data'!F16</f>
        <v>0.8</v>
      </c>
      <c r="H56" s="11" t="n">
        <f aca="false">'Chart Data'!G16</f>
        <v>1</v>
      </c>
      <c r="I56" s="11" t="str">
        <f aca="false">'Chart Data'!H16</f>
        <v/>
      </c>
    </row>
    <row r="57" customFormat="false" ht="15" hidden="false" customHeight="false" outlineLevel="0" collapsed="false">
      <c r="B57" s="10" t="str">
        <f aca="false">'Chart Data'!A17</f>
        <v>DLF Cyber City Tower B</v>
      </c>
      <c r="C57" s="11" t="n">
        <f aca="false">'Chart Data'!B17</f>
        <v>0.730769230769231</v>
      </c>
      <c r="D57" s="11" t="n">
        <f aca="false">'Chart Data'!C17</f>
        <v>0.142857142857143</v>
      </c>
      <c r="E57" s="11" t="n">
        <f aca="false">'Chart Data'!D17</f>
        <v>0.485714285714286</v>
      </c>
      <c r="F57" s="11" t="n">
        <f aca="false">'Chart Data'!E17</f>
        <v>0.3</v>
      </c>
      <c r="G57" s="11" t="n">
        <f aca="false">'Chart Data'!F17</f>
        <v>0.466666666666667</v>
      </c>
      <c r="H57" s="11" t="n">
        <f aca="false">'Chart Data'!G17</f>
        <v>0.666666666666667</v>
      </c>
      <c r="I57" s="11" t="n">
        <f aca="false">'Chart Data'!H17</f>
        <v>1</v>
      </c>
    </row>
    <row r="58" customFormat="false" ht="15" hidden="false" customHeight="false" outlineLevel="0" collapsed="false">
      <c r="B58" s="10" t="str">
        <f aca="false">'Chart Data'!A18</f>
        <v>Godrej Bhavan, Mumbai</v>
      </c>
      <c r="C58" s="11" t="n">
        <f aca="false">'Chart Data'!B18</f>
        <v>0.583333333333333</v>
      </c>
      <c r="D58" s="11" t="n">
        <f aca="false">'Chart Data'!C18</f>
        <v>0.9</v>
      </c>
      <c r="E58" s="11" t="n">
        <f aca="false">'Chart Data'!D18</f>
        <v>0.6</v>
      </c>
      <c r="F58" s="11" t="n">
        <f aca="false">'Chart Data'!E18</f>
        <v>0.714285714285714</v>
      </c>
      <c r="G58" s="11" t="n">
        <f aca="false">'Chart Data'!F18</f>
        <v>0.368421052631579</v>
      </c>
      <c r="H58" s="11" t="n">
        <f aca="false">'Chart Data'!G18</f>
        <v>0.714285714285714</v>
      </c>
      <c r="I58" s="11" t="n">
        <f aca="false">'Chart Data'!H18</f>
        <v>1</v>
      </c>
    </row>
    <row r="59" customFormat="false" ht="15" hidden="false" customHeight="false" outlineLevel="0" collapsed="false">
      <c r="B59" s="10" t="str">
        <f aca="false">'Chart Data'!A19</f>
        <v>VIT, Wadala (estimate)</v>
      </c>
      <c r="C59" s="11" t="n">
        <f aca="false">'Chart Data'!B19</f>
        <v>0.727272727272727</v>
      </c>
      <c r="D59" s="11" t="n">
        <f aca="false">'Chart Data'!C19</f>
        <v>0.666666666666667</v>
      </c>
      <c r="E59" s="11" t="n">
        <f aca="false">'Chart Data'!D19</f>
        <v>0.666666666666667</v>
      </c>
      <c r="F59" s="11" t="n">
        <f aca="false">'Chart Data'!E19</f>
        <v>0.555555555555556</v>
      </c>
      <c r="G59" s="11" t="n">
        <f aca="false">'Chart Data'!F19</f>
        <v>0.692307692307692</v>
      </c>
      <c r="H59" s="11" t="n">
        <f aca="false">'Chart Data'!G19</f>
        <v>0.6</v>
      </c>
      <c r="I59" s="11" t="n">
        <f aca="false">'Chart Data'!H19</f>
        <v>1</v>
      </c>
    </row>
    <row r="61" customFormat="false" ht="15" hidden="false" customHeight="true" outlineLevel="0" collapsed="false">
      <c r="B61" s="12" t="s">
        <v>15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customFormat="false" ht="15" hidden="false" customHeight="false" outlineLevel="0" collapsed="false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customFormat="false" ht="15" hidden="false" customHeight="false" outlineLevel="0" collapsed="false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</sheetData>
  <mergeCells count="11">
    <mergeCell ref="B2:N3"/>
    <mergeCell ref="B4:N4"/>
    <mergeCell ref="B6:D7"/>
    <mergeCell ref="E6:G7"/>
    <mergeCell ref="H6:J7"/>
    <mergeCell ref="K6:M7"/>
    <mergeCell ref="B8:D8"/>
    <mergeCell ref="E8:G8"/>
    <mergeCell ref="H8:J8"/>
    <mergeCell ref="K8:M8"/>
    <mergeCell ref="B61:N63"/>
  </mergeCells>
  <conditionalFormatting sqref="C53:I59">
    <cfRule type="colorScale" priority="2">
      <colorScale>
        <cfvo type="num" val="0"/>
        <cfvo type="num" val="0.5"/>
        <cfvo type="num" val="1"/>
        <color rgb="FFB4552F"/>
        <color rgb="FFC9A227"/>
        <color rgb="FF3E7A5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17" min="4" style="0" width="9"/>
    <col collapsed="false" customWidth="true" hidden="false" outlineLevel="0" max="19" min="18" style="0" width="10"/>
    <col collapsed="false" customWidth="true" hidden="false" outlineLevel="0" max="20" min="20" style="0" width="60"/>
  </cols>
  <sheetData>
    <row r="1" customFormat="false" ht="30" hidden="false" customHeight="true" outlineLevel="0" collapsed="false">
      <c r="A1" s="13" t="s">
        <v>7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3" t="s">
        <v>21</v>
      </c>
      <c r="H1" s="13" t="s">
        <v>22</v>
      </c>
      <c r="I1" s="13" t="s">
        <v>23</v>
      </c>
      <c r="J1" s="13" t="s">
        <v>24</v>
      </c>
      <c r="K1" s="13" t="s">
        <v>25</v>
      </c>
      <c r="L1" s="13" t="s">
        <v>26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31</v>
      </c>
      <c r="R1" s="13" t="s">
        <v>32</v>
      </c>
      <c r="S1" s="13" t="s">
        <v>33</v>
      </c>
      <c r="T1" s="13" t="s">
        <v>34</v>
      </c>
    </row>
    <row r="2" customFormat="false" ht="45" hidden="false" customHeight="true" outlineLevel="0" collapsed="false">
      <c r="A2" s="14" t="s">
        <v>35</v>
      </c>
      <c r="B2" s="15" t="s">
        <v>36</v>
      </c>
      <c r="C2" s="14" t="s">
        <v>37</v>
      </c>
      <c r="D2" s="16" t="s">
        <v>38</v>
      </c>
      <c r="E2" s="17" t="n">
        <f aca="false">IFERROR(VALUE(LEFT(D2,FIND("/",D2)-1))/VALUE(MID(D2,FIND("/",D2)+1,10)),"")</f>
        <v>0.785714285714286</v>
      </c>
      <c r="F2" s="16" t="s">
        <v>39</v>
      </c>
      <c r="G2" s="17" t="n">
        <f aca="false">IFERROR(VALUE(LEFT(F2,FIND("/",F2)-1))/VALUE(MID(F2,FIND("/",F2)+1,10)),"")</f>
        <v>1</v>
      </c>
      <c r="H2" s="16" t="s">
        <v>40</v>
      </c>
      <c r="I2" s="17" t="n">
        <f aca="false">IFERROR(VALUE(LEFT(H2,FIND("/",H2)-1))/VALUE(MID(H2,FIND("/",H2)+1,10)),"")</f>
        <v>0.764705882352941</v>
      </c>
      <c r="J2" s="16" t="s">
        <v>41</v>
      </c>
      <c r="K2" s="17" t="n">
        <f aca="false">IFERROR(VALUE(LEFT(J2,FIND("/",J2)-1))/VALUE(MID(J2,FIND("/",J2)+1,10)),"")</f>
        <v>0.615384615384615</v>
      </c>
      <c r="L2" s="16" t="s">
        <v>42</v>
      </c>
      <c r="M2" s="17" t="n">
        <f aca="false">IFERROR(VALUE(LEFT(L2,FIND("/",L2)-1))/VALUE(MID(L2,FIND("/",L2)+1,10)),"")</f>
        <v>0.933333333333333</v>
      </c>
      <c r="N2" s="16" t="s">
        <v>39</v>
      </c>
      <c r="O2" s="17" t="n">
        <f aca="false">IFERROR(VALUE(LEFT(N2,FIND("/",N2)-1))/VALUE(MID(N2,FIND("/",N2)+1,10)),"")</f>
        <v>1</v>
      </c>
      <c r="P2" s="16" t="s">
        <v>43</v>
      </c>
      <c r="Q2" s="17" t="str">
        <f aca="false">IFERROR(VALUE(LEFT(P2,FIND("/",P2)-1))/VALUE(MID(P2,FIND("/",P2)+1,10)),"")</f>
        <v/>
      </c>
      <c r="R2" s="18" t="s">
        <v>44</v>
      </c>
      <c r="S2" s="19" t="n">
        <f aca="false">IFERROR(VALUE(LEFT(R2,FIND("/",R2)-1))/VALUE(MID(R2,FIND("/",R2)+1,10)),"")</f>
        <v>0.811594202898551</v>
      </c>
      <c r="T2" s="20" t="s">
        <v>45</v>
      </c>
    </row>
    <row r="3" customFormat="false" ht="45" hidden="false" customHeight="true" outlineLevel="0" collapsed="false">
      <c r="A3" s="14" t="s">
        <v>46</v>
      </c>
      <c r="B3" s="15" t="s">
        <v>47</v>
      </c>
      <c r="C3" s="14" t="s">
        <v>37</v>
      </c>
      <c r="D3" s="16" t="s">
        <v>48</v>
      </c>
      <c r="E3" s="17" t="n">
        <f aca="false">IFERROR(VALUE(LEFT(D3,FIND("/",D3)-1))/VALUE(MID(D3,FIND("/",D3)+1,10)),"")</f>
        <v>0.714285714285714</v>
      </c>
      <c r="F3" s="16" t="s">
        <v>39</v>
      </c>
      <c r="G3" s="17" t="n">
        <f aca="false">IFERROR(VALUE(LEFT(F3,FIND("/",F3)-1))/VALUE(MID(F3,FIND("/",F3)+1,10)),"")</f>
        <v>1</v>
      </c>
      <c r="H3" s="16" t="s">
        <v>49</v>
      </c>
      <c r="I3" s="17" t="n">
        <f aca="false">IFERROR(VALUE(LEFT(H3,FIND("/",H3)-1))/VALUE(MID(H3,FIND("/",H3)+1,10)),"")</f>
        <v>0.705882352941177</v>
      </c>
      <c r="J3" s="16" t="s">
        <v>41</v>
      </c>
      <c r="K3" s="17" t="n">
        <f aca="false">IFERROR(VALUE(LEFT(J3,FIND("/",J3)-1))/VALUE(MID(J3,FIND("/",J3)+1,10)),"")</f>
        <v>0.615384615384615</v>
      </c>
      <c r="L3" s="16" t="s">
        <v>50</v>
      </c>
      <c r="M3" s="17" t="n">
        <f aca="false">IFERROR(VALUE(LEFT(L3,FIND("/",L3)-1))/VALUE(MID(L3,FIND("/",L3)+1,10)),"")</f>
        <v>0.8</v>
      </c>
      <c r="N3" s="16" t="s">
        <v>39</v>
      </c>
      <c r="O3" s="17" t="n">
        <f aca="false">IFERROR(VALUE(LEFT(N3,FIND("/",N3)-1))/VALUE(MID(N3,FIND("/",N3)+1,10)),"")</f>
        <v>1</v>
      </c>
      <c r="P3" s="16" t="s">
        <v>43</v>
      </c>
      <c r="Q3" s="17" t="str">
        <f aca="false">IFERROR(VALUE(LEFT(P3,FIND("/",P3)-1))/VALUE(MID(P3,FIND("/",P3)+1,10)),"")</f>
        <v/>
      </c>
      <c r="R3" s="18" t="s">
        <v>51</v>
      </c>
      <c r="S3" s="19" t="n">
        <f aca="false">IFERROR(VALUE(LEFT(R3,FIND("/",R3)-1))/VALUE(MID(R3,FIND("/",R3)+1,10)),"")</f>
        <v>0.753623188405797</v>
      </c>
      <c r="T3" s="20" t="s">
        <v>52</v>
      </c>
    </row>
    <row r="4" customFormat="false" ht="45" hidden="false" customHeight="true" outlineLevel="0" collapsed="false">
      <c r="A4" s="14" t="s">
        <v>53</v>
      </c>
      <c r="B4" s="15" t="s">
        <v>54</v>
      </c>
      <c r="C4" s="14" t="s">
        <v>37</v>
      </c>
      <c r="D4" s="16" t="s">
        <v>55</v>
      </c>
      <c r="E4" s="17" t="n">
        <f aca="false">IFERROR(VALUE(LEFT(D4,FIND("/",D4)-1))/VALUE(MID(D4,FIND("/",D4)+1,10)),"")</f>
        <v>0.769230769230769</v>
      </c>
      <c r="F4" s="16" t="s">
        <v>56</v>
      </c>
      <c r="G4" s="17" t="n">
        <f aca="false">IFERROR(VALUE(LEFT(F4,FIND("/",F4)-1))/VALUE(MID(F4,FIND("/",F4)+1,10)),"")</f>
        <v>1</v>
      </c>
      <c r="H4" s="16" t="s">
        <v>57</v>
      </c>
      <c r="I4" s="17" t="n">
        <f aca="false">IFERROR(VALUE(LEFT(H4,FIND("/",H4)-1))/VALUE(MID(H4,FIND("/",H4)+1,10)),"")</f>
        <v>0.823529411764706</v>
      </c>
      <c r="J4" s="16" t="s">
        <v>58</v>
      </c>
      <c r="K4" s="17" t="n">
        <f aca="false">IFERROR(VALUE(LEFT(J4,FIND("/",J4)-1))/VALUE(MID(J4,FIND("/",J4)+1,10)),"")</f>
        <v>0.538461538461538</v>
      </c>
      <c r="L4" s="16" t="s">
        <v>59</v>
      </c>
      <c r="M4" s="17" t="n">
        <f aca="false">IFERROR(VALUE(LEFT(L4,FIND("/",L4)-1))/VALUE(MID(L4,FIND("/",L4)+1,10)),"")</f>
        <v>1</v>
      </c>
      <c r="N4" s="16" t="s">
        <v>39</v>
      </c>
      <c r="O4" s="17" t="n">
        <f aca="false">IFERROR(VALUE(LEFT(N4,FIND("/",N4)-1))/VALUE(MID(N4,FIND("/",N4)+1,10)),"")</f>
        <v>1</v>
      </c>
      <c r="P4" s="16" t="s">
        <v>43</v>
      </c>
      <c r="Q4" s="17" t="str">
        <f aca="false">IFERROR(VALUE(LEFT(P4,FIND("/",P4)-1))/VALUE(MID(P4,FIND("/",P4)+1,10)),"")</f>
        <v/>
      </c>
      <c r="R4" s="18" t="s">
        <v>60</v>
      </c>
      <c r="S4" s="19" t="n">
        <f aca="false">IFERROR(VALUE(LEFT(R4,FIND("/",R4)-1))/VALUE(MID(R4,FIND("/",R4)+1,10)),"")</f>
        <v>0.826086956521739</v>
      </c>
      <c r="T4" s="20" t="s">
        <v>61</v>
      </c>
    </row>
    <row r="5" customFormat="false" ht="45" hidden="false" customHeight="true" outlineLevel="0" collapsed="false">
      <c r="A5" s="14" t="s">
        <v>62</v>
      </c>
      <c r="B5" s="15" t="s">
        <v>63</v>
      </c>
      <c r="C5" s="14" t="s">
        <v>37</v>
      </c>
      <c r="D5" s="16" t="s">
        <v>64</v>
      </c>
      <c r="E5" s="17" t="str">
        <f aca="false">IFERROR(VALUE(LEFT(D5,FIND("/",D5)-1))/VALUE(MID(D5,FIND("/",D5)+1,10)),"")</f>
        <v/>
      </c>
      <c r="F5" s="16" t="s">
        <v>64</v>
      </c>
      <c r="G5" s="17" t="str">
        <f aca="false">IFERROR(VALUE(LEFT(F5,FIND("/",F5)-1))/VALUE(MID(F5,FIND("/",F5)+1,10)),"")</f>
        <v/>
      </c>
      <c r="H5" s="16" t="s">
        <v>64</v>
      </c>
      <c r="I5" s="17" t="str">
        <f aca="false">IFERROR(VALUE(LEFT(H5,FIND("/",H5)-1))/VALUE(MID(H5,FIND("/",H5)+1,10)),"")</f>
        <v/>
      </c>
      <c r="J5" s="16" t="s">
        <v>64</v>
      </c>
      <c r="K5" s="17" t="str">
        <f aca="false">IFERROR(VALUE(LEFT(J5,FIND("/",J5)-1))/VALUE(MID(J5,FIND("/",J5)+1,10)),"")</f>
        <v/>
      </c>
      <c r="L5" s="16" t="s">
        <v>64</v>
      </c>
      <c r="M5" s="17" t="str">
        <f aca="false">IFERROR(VALUE(LEFT(L5,FIND("/",L5)-1))/VALUE(MID(L5,FIND("/",L5)+1,10)),"")</f>
        <v/>
      </c>
      <c r="N5" s="16" t="s">
        <v>64</v>
      </c>
      <c r="O5" s="17" t="str">
        <f aca="false">IFERROR(VALUE(LEFT(N5,FIND("/",N5)-1))/VALUE(MID(N5,FIND("/",N5)+1,10)),"")</f>
        <v/>
      </c>
      <c r="P5" s="16" t="s">
        <v>64</v>
      </c>
      <c r="Q5" s="17" t="str">
        <f aca="false">IFERROR(VALUE(LEFT(P5,FIND("/",P5)-1))/VALUE(MID(P5,FIND("/",P5)+1,10)),"")</f>
        <v/>
      </c>
      <c r="R5" s="18" t="s">
        <v>64</v>
      </c>
      <c r="S5" s="19" t="str">
        <f aca="false">IFERROR(VALUE(LEFT(R5,FIND("/",R5)-1))/VALUE(MID(R5,FIND("/",R5)+1,10)),"")</f>
        <v/>
      </c>
      <c r="T5" s="20" t="s">
        <v>65</v>
      </c>
    </row>
    <row r="6" customFormat="false" ht="45" hidden="false" customHeight="true" outlineLevel="0" collapsed="false">
      <c r="A6" s="14" t="s">
        <v>66</v>
      </c>
      <c r="B6" s="15" t="s">
        <v>67</v>
      </c>
      <c r="C6" s="14" t="s">
        <v>37</v>
      </c>
      <c r="D6" s="16" t="s">
        <v>68</v>
      </c>
      <c r="E6" s="17" t="n">
        <f aca="false">IFERROR(VALUE(LEFT(D6,FIND("/",D6)-1))/VALUE(MID(D6,FIND("/",D6)+1,10)),"")</f>
        <v>0.821428571428571</v>
      </c>
      <c r="F6" s="16" t="s">
        <v>69</v>
      </c>
      <c r="G6" s="17" t="n">
        <f aca="false">IFERROR(VALUE(LEFT(F6,FIND("/",F6)-1))/VALUE(MID(F6,FIND("/",F6)+1,10)),"")</f>
        <v>1</v>
      </c>
      <c r="H6" s="16" t="s">
        <v>70</v>
      </c>
      <c r="I6" s="17" t="n">
        <f aca="false">IFERROR(VALUE(LEFT(H6,FIND("/",H6)-1))/VALUE(MID(H6,FIND("/",H6)+1,10)),"")</f>
        <v>0.6</v>
      </c>
      <c r="J6" s="16" t="s">
        <v>71</v>
      </c>
      <c r="K6" s="17" t="n">
        <f aca="false">IFERROR(VALUE(LEFT(J6,FIND("/",J6)-1))/VALUE(MID(J6,FIND("/",J6)+1,10)),"")</f>
        <v>0.461538461538462</v>
      </c>
      <c r="L6" s="16" t="s">
        <v>72</v>
      </c>
      <c r="M6" s="17" t="n">
        <f aca="false">IFERROR(VALUE(LEFT(L6,FIND("/",L6)-1))/VALUE(MID(L6,FIND("/",L6)+1,10)),"")</f>
        <v>0.666666666666667</v>
      </c>
      <c r="N6" s="16" t="s">
        <v>73</v>
      </c>
      <c r="O6" s="17" t="n">
        <f aca="false">IFERROR(VALUE(LEFT(N6,FIND("/",N6)-1))/VALUE(MID(N6,FIND("/",N6)+1,10)),"")</f>
        <v>0.833333333333333</v>
      </c>
      <c r="P6" s="16" t="s">
        <v>74</v>
      </c>
      <c r="Q6" s="17" t="n">
        <f aca="false">IFERROR(VALUE(LEFT(P6,FIND("/",P6)-1))/VALUE(MID(P6,FIND("/",P6)+1,10)),"")</f>
        <v>1</v>
      </c>
      <c r="R6" s="18" t="s">
        <v>75</v>
      </c>
      <c r="S6" s="19" t="n">
        <f aca="false">IFERROR(VALUE(LEFT(R6,FIND("/",R6)-1))/VALUE(MID(R6,FIND("/",R6)+1,10)),"")</f>
        <v>0.809090909090909</v>
      </c>
      <c r="T6" s="20" t="s">
        <v>76</v>
      </c>
    </row>
    <row r="7" customFormat="false" ht="45" hidden="false" customHeight="true" outlineLevel="0" collapsed="false">
      <c r="A7" s="14" t="s">
        <v>77</v>
      </c>
      <c r="B7" s="15" t="s">
        <v>78</v>
      </c>
      <c r="C7" s="14" t="s">
        <v>79</v>
      </c>
      <c r="D7" s="16" t="s">
        <v>80</v>
      </c>
      <c r="E7" s="17" t="n">
        <f aca="false">IFERROR(VALUE(LEFT(D7,FIND("/",D7)-1))/VALUE(MID(D7,FIND("/",D7)+1,10)),"")</f>
        <v>0.730769230769231</v>
      </c>
      <c r="F7" s="16" t="s">
        <v>81</v>
      </c>
      <c r="G7" s="17" t="n">
        <f aca="false">IFERROR(VALUE(LEFT(F7,FIND("/",F7)-1))/VALUE(MID(F7,FIND("/",F7)+1,10)),"")</f>
        <v>0.142857142857143</v>
      </c>
      <c r="H7" s="16" t="s">
        <v>82</v>
      </c>
      <c r="I7" s="17" t="n">
        <f aca="false">IFERROR(VALUE(LEFT(H7,FIND("/",H7)-1))/VALUE(MID(H7,FIND("/",H7)+1,10)),"")</f>
        <v>0.485714285714286</v>
      </c>
      <c r="J7" s="16" t="s">
        <v>83</v>
      </c>
      <c r="K7" s="17" t="n">
        <f aca="false">IFERROR(VALUE(LEFT(J7,FIND("/",J7)-1))/VALUE(MID(J7,FIND("/",J7)+1,10)),"")</f>
        <v>0.3</v>
      </c>
      <c r="L7" s="16" t="s">
        <v>84</v>
      </c>
      <c r="M7" s="17" t="n">
        <f aca="false">IFERROR(VALUE(LEFT(L7,FIND("/",L7)-1))/VALUE(MID(L7,FIND("/",L7)+1,10)),"")</f>
        <v>0.466666666666667</v>
      </c>
      <c r="N7" s="16" t="s">
        <v>85</v>
      </c>
      <c r="O7" s="17" t="n">
        <f aca="false">IFERROR(VALUE(LEFT(N7,FIND("/",N7)-1))/VALUE(MID(N7,FIND("/",N7)+1,10)),"")</f>
        <v>0.666666666666667</v>
      </c>
      <c r="P7" s="16" t="s">
        <v>74</v>
      </c>
      <c r="Q7" s="17" t="n">
        <f aca="false">IFERROR(VALUE(LEFT(P7,FIND("/",P7)-1))/VALUE(MID(P7,FIND("/",P7)+1,10)),"")</f>
        <v>1</v>
      </c>
      <c r="R7" s="18" t="s">
        <v>86</v>
      </c>
      <c r="S7" s="19" t="n">
        <f aca="false">IFERROR(VALUE(LEFT(R7,FIND("/",R7)-1))/VALUE(MID(R7,FIND("/",R7)+1,10)),"")</f>
        <v>0.627272727272727</v>
      </c>
      <c r="T7" s="20" t="s">
        <v>87</v>
      </c>
    </row>
    <row r="8" customFormat="false" ht="45" hidden="false" customHeight="true" outlineLevel="0" collapsed="false">
      <c r="A8" s="14" t="s">
        <v>88</v>
      </c>
      <c r="B8" s="15" t="s">
        <v>89</v>
      </c>
      <c r="C8" s="14" t="s">
        <v>90</v>
      </c>
      <c r="D8" s="16" t="s">
        <v>64</v>
      </c>
      <c r="E8" s="17" t="str">
        <f aca="false">IFERROR(VALUE(LEFT(D8,FIND("/",D8)-1))/VALUE(MID(D8,FIND("/",D8)+1,10)),"")</f>
        <v/>
      </c>
      <c r="F8" s="16" t="s">
        <v>64</v>
      </c>
      <c r="G8" s="17" t="str">
        <f aca="false">IFERROR(VALUE(LEFT(F8,FIND("/",F8)-1))/VALUE(MID(F8,FIND("/",F8)+1,10)),"")</f>
        <v/>
      </c>
      <c r="H8" s="16" t="s">
        <v>64</v>
      </c>
      <c r="I8" s="17" t="str">
        <f aca="false">IFERROR(VALUE(LEFT(H8,FIND("/",H8)-1))/VALUE(MID(H8,FIND("/",H8)+1,10)),"")</f>
        <v/>
      </c>
      <c r="J8" s="16" t="s">
        <v>64</v>
      </c>
      <c r="K8" s="17" t="str">
        <f aca="false">IFERROR(VALUE(LEFT(J8,FIND("/",J8)-1))/VALUE(MID(J8,FIND("/",J8)+1,10)),"")</f>
        <v/>
      </c>
      <c r="L8" s="16" t="s">
        <v>64</v>
      </c>
      <c r="M8" s="17" t="str">
        <f aca="false">IFERROR(VALUE(LEFT(L8,FIND("/",L8)-1))/VALUE(MID(L8,FIND("/",L8)+1,10)),"")</f>
        <v/>
      </c>
      <c r="N8" s="16" t="s">
        <v>64</v>
      </c>
      <c r="O8" s="17" t="str">
        <f aca="false">IFERROR(VALUE(LEFT(N8,FIND("/",N8)-1))/VALUE(MID(N8,FIND("/",N8)+1,10)),"")</f>
        <v/>
      </c>
      <c r="P8" s="16" t="s">
        <v>64</v>
      </c>
      <c r="Q8" s="17" t="str">
        <f aca="false">IFERROR(VALUE(LEFT(P8,FIND("/",P8)-1))/VALUE(MID(P8,FIND("/",P8)+1,10)),"")</f>
        <v/>
      </c>
      <c r="R8" s="18" t="s">
        <v>64</v>
      </c>
      <c r="S8" s="19" t="str">
        <f aca="false">IFERROR(VALUE(LEFT(R8,FIND("/",R8)-1))/VALUE(MID(R8,FIND("/",R8)+1,10)),"")</f>
        <v/>
      </c>
      <c r="T8" s="20" t="s">
        <v>91</v>
      </c>
    </row>
    <row r="9" customFormat="false" ht="45" hidden="false" customHeight="true" outlineLevel="0" collapsed="false">
      <c r="A9" s="14" t="s">
        <v>92</v>
      </c>
      <c r="B9" s="15" t="s">
        <v>93</v>
      </c>
      <c r="C9" s="14" t="s">
        <v>37</v>
      </c>
      <c r="D9" s="16" t="s">
        <v>64</v>
      </c>
      <c r="E9" s="17" t="str">
        <f aca="false">IFERROR(VALUE(LEFT(D9,FIND("/",D9)-1))/VALUE(MID(D9,FIND("/",D9)+1,10)),"")</f>
        <v/>
      </c>
      <c r="F9" s="16" t="s">
        <v>64</v>
      </c>
      <c r="G9" s="17" t="str">
        <f aca="false">IFERROR(VALUE(LEFT(F9,FIND("/",F9)-1))/VALUE(MID(F9,FIND("/",F9)+1,10)),"")</f>
        <v/>
      </c>
      <c r="H9" s="16" t="s">
        <v>64</v>
      </c>
      <c r="I9" s="17" t="str">
        <f aca="false">IFERROR(VALUE(LEFT(H9,FIND("/",H9)-1))/VALUE(MID(H9,FIND("/",H9)+1,10)),"")</f>
        <v/>
      </c>
      <c r="J9" s="16" t="s">
        <v>64</v>
      </c>
      <c r="K9" s="17" t="str">
        <f aca="false">IFERROR(VALUE(LEFT(J9,FIND("/",J9)-1))/VALUE(MID(J9,FIND("/",J9)+1,10)),"")</f>
        <v/>
      </c>
      <c r="L9" s="16" t="s">
        <v>64</v>
      </c>
      <c r="M9" s="17" t="str">
        <f aca="false">IFERROR(VALUE(LEFT(L9,FIND("/",L9)-1))/VALUE(MID(L9,FIND("/",L9)+1,10)),"")</f>
        <v/>
      </c>
      <c r="N9" s="16" t="s">
        <v>64</v>
      </c>
      <c r="O9" s="17" t="str">
        <f aca="false">IFERROR(VALUE(LEFT(N9,FIND("/",N9)-1))/VALUE(MID(N9,FIND("/",N9)+1,10)),"")</f>
        <v/>
      </c>
      <c r="P9" s="16" t="s">
        <v>64</v>
      </c>
      <c r="Q9" s="17" t="str">
        <f aca="false">IFERROR(VALUE(LEFT(P9,FIND("/",P9)-1))/VALUE(MID(P9,FIND("/",P9)+1,10)),"")</f>
        <v/>
      </c>
      <c r="R9" s="18" t="s">
        <v>64</v>
      </c>
      <c r="S9" s="19" t="str">
        <f aca="false">IFERROR(VALUE(LEFT(R9,FIND("/",R9)-1))/VALUE(MID(R9,FIND("/",R9)+1,10)),"")</f>
        <v/>
      </c>
      <c r="T9" s="20" t="s">
        <v>94</v>
      </c>
    </row>
    <row r="10" customFormat="false" ht="45" hidden="false" customHeight="true" outlineLevel="0" collapsed="false">
      <c r="A10" s="14" t="s">
        <v>95</v>
      </c>
      <c r="B10" s="15" t="s">
        <v>96</v>
      </c>
      <c r="C10" s="14" t="s">
        <v>79</v>
      </c>
      <c r="D10" s="16" t="s">
        <v>97</v>
      </c>
      <c r="E10" s="17" t="n">
        <f aca="false">IFERROR(VALUE(LEFT(D10,FIND("/",D10)-1))/VALUE(MID(D10,FIND("/",D10)+1,10)),"")</f>
        <v>0.583333333333333</v>
      </c>
      <c r="F10" s="16" t="s">
        <v>98</v>
      </c>
      <c r="G10" s="17" t="n">
        <f aca="false">IFERROR(VALUE(LEFT(F10,FIND("/",F10)-1))/VALUE(MID(F10,FIND("/",F10)+1,10)),"")</f>
        <v>0.9</v>
      </c>
      <c r="H10" s="16" t="s">
        <v>99</v>
      </c>
      <c r="I10" s="17" t="n">
        <f aca="false">IFERROR(VALUE(LEFT(H10,FIND("/",H10)-1))/VALUE(MID(H10,FIND("/",H10)+1,10)),"")</f>
        <v>0.6</v>
      </c>
      <c r="J10" s="16" t="s">
        <v>48</v>
      </c>
      <c r="K10" s="17" t="n">
        <f aca="false">IFERROR(VALUE(LEFT(J10,FIND("/",J10)-1))/VALUE(MID(J10,FIND("/",J10)+1,10)),"")</f>
        <v>0.714285714285714</v>
      </c>
      <c r="L10" s="16" t="s">
        <v>100</v>
      </c>
      <c r="M10" s="17" t="n">
        <f aca="false">IFERROR(VALUE(LEFT(L10,FIND("/",L10)-1))/VALUE(MID(L10,FIND("/",L10)+1,10)),"")</f>
        <v>0.368421052631579</v>
      </c>
      <c r="N10" s="16" t="s">
        <v>101</v>
      </c>
      <c r="O10" s="17" t="n">
        <f aca="false">IFERROR(VALUE(LEFT(N10,FIND("/",N10)-1))/VALUE(MID(N10,FIND("/",N10)+1,10)),"")</f>
        <v>0.714285714285714</v>
      </c>
      <c r="P10" s="16" t="s">
        <v>74</v>
      </c>
      <c r="Q10" s="17" t="n">
        <f aca="false">IFERROR(VALUE(LEFT(P10,FIND("/",P10)-1))/VALUE(MID(P10,FIND("/",P10)+1,10)),"")</f>
        <v>1</v>
      </c>
      <c r="R10" s="18" t="s">
        <v>102</v>
      </c>
      <c r="S10" s="19" t="n">
        <f aca="false">IFERROR(VALUE(LEFT(R10,FIND("/",R10)-1))/VALUE(MID(R10,FIND("/",R10)+1,10)),"")</f>
        <v>0.608695652173913</v>
      </c>
      <c r="T10" s="20" t="s">
        <v>103</v>
      </c>
    </row>
    <row r="11" customFormat="false" ht="45" hidden="false" customHeight="true" outlineLevel="0" collapsed="false">
      <c r="A11" s="14" t="s">
        <v>104</v>
      </c>
      <c r="B11" s="15" t="s">
        <v>105</v>
      </c>
      <c r="C11" s="14" t="s">
        <v>106</v>
      </c>
      <c r="D11" s="16" t="s">
        <v>64</v>
      </c>
      <c r="E11" s="17" t="str">
        <f aca="false">IFERROR(VALUE(LEFT(D11,FIND("/",D11)-1))/VALUE(MID(D11,FIND("/",D11)+1,10)),"")</f>
        <v/>
      </c>
      <c r="F11" s="16" t="s">
        <v>64</v>
      </c>
      <c r="G11" s="17" t="str">
        <f aca="false">IFERROR(VALUE(LEFT(F11,FIND("/",F11)-1))/VALUE(MID(F11,FIND("/",F11)+1,10)),"")</f>
        <v/>
      </c>
      <c r="H11" s="16" t="s">
        <v>64</v>
      </c>
      <c r="I11" s="17" t="str">
        <f aca="false">IFERROR(VALUE(LEFT(H11,FIND("/",H11)-1))/VALUE(MID(H11,FIND("/",H11)+1,10)),"")</f>
        <v/>
      </c>
      <c r="J11" s="16" t="s">
        <v>64</v>
      </c>
      <c r="K11" s="17" t="str">
        <f aca="false">IFERROR(VALUE(LEFT(J11,FIND("/",J11)-1))/VALUE(MID(J11,FIND("/",J11)+1,10)),"")</f>
        <v/>
      </c>
      <c r="L11" s="16" t="s">
        <v>64</v>
      </c>
      <c r="M11" s="17" t="str">
        <f aca="false">IFERROR(VALUE(LEFT(L11,FIND("/",L11)-1))/VALUE(MID(L11,FIND("/",L11)+1,10)),"")</f>
        <v/>
      </c>
      <c r="N11" s="16" t="s">
        <v>64</v>
      </c>
      <c r="O11" s="17" t="str">
        <f aca="false">IFERROR(VALUE(LEFT(N11,FIND("/",N11)-1))/VALUE(MID(N11,FIND("/",N11)+1,10)),"")</f>
        <v/>
      </c>
      <c r="P11" s="16" t="s">
        <v>64</v>
      </c>
      <c r="Q11" s="17" t="str">
        <f aca="false">IFERROR(VALUE(LEFT(P11,FIND("/",P11)-1))/VALUE(MID(P11,FIND("/",P11)+1,10)),"")</f>
        <v/>
      </c>
      <c r="R11" s="18" t="s">
        <v>64</v>
      </c>
      <c r="S11" s="19" t="str">
        <f aca="false">IFERROR(VALUE(LEFT(R11,FIND("/",R11)-1))/VALUE(MID(R11,FIND("/",R11)+1,10)),"")</f>
        <v/>
      </c>
      <c r="T11" s="20" t="s">
        <v>107</v>
      </c>
    </row>
    <row r="12" customFormat="false" ht="45" hidden="false" customHeight="true" outlineLevel="0" collapsed="false">
      <c r="A12" s="14" t="s">
        <v>108</v>
      </c>
      <c r="B12" s="15" t="s">
        <v>109</v>
      </c>
      <c r="C12" s="14" t="s">
        <v>110</v>
      </c>
      <c r="D12" s="16" t="s">
        <v>111</v>
      </c>
      <c r="E12" s="17" t="n">
        <f aca="false">IFERROR(VALUE(LEFT(D12,FIND("/",D12)-1))/VALUE(MID(D12,FIND("/",D12)+1,10)),"")</f>
        <v>0.727272727272727</v>
      </c>
      <c r="F12" s="16" t="s">
        <v>112</v>
      </c>
      <c r="G12" s="17" t="n">
        <f aca="false">IFERROR(VALUE(LEFT(F12,FIND("/",F12)-1))/VALUE(MID(F12,FIND("/",F12)+1,10)),"")</f>
        <v>0.666666666666667</v>
      </c>
      <c r="H12" s="16" t="s">
        <v>113</v>
      </c>
      <c r="I12" s="17" t="n">
        <f aca="false">IFERROR(VALUE(LEFT(H12,FIND("/",H12)-1))/VALUE(MID(H12,FIND("/",H12)+1,10)),"")</f>
        <v>0.666666666666667</v>
      </c>
      <c r="J12" s="16" t="s">
        <v>114</v>
      </c>
      <c r="K12" s="17" t="n">
        <f aca="false">IFERROR(VALUE(LEFT(J12,FIND("/",J12)-1))/VALUE(MID(J12,FIND("/",J12)+1,10)),"")</f>
        <v>0.555555555555556</v>
      </c>
      <c r="L12" s="16" t="s">
        <v>115</v>
      </c>
      <c r="M12" s="17" t="n">
        <f aca="false">IFERROR(VALUE(LEFT(L12,FIND("/",L12)-1))/VALUE(MID(L12,FIND("/",L12)+1,10)),"")</f>
        <v>0.692307692307692</v>
      </c>
      <c r="N12" s="16" t="s">
        <v>116</v>
      </c>
      <c r="O12" s="17" t="n">
        <f aca="false">IFERROR(VALUE(LEFT(N12,FIND("/",N12)-1))/VALUE(MID(N12,FIND("/",N12)+1,10)),"")</f>
        <v>0.6</v>
      </c>
      <c r="P12" s="16" t="s">
        <v>74</v>
      </c>
      <c r="Q12" s="17" t="n">
        <f aca="false">IFERROR(VALUE(LEFT(P12,FIND("/",P12)-1))/VALUE(MID(P12,FIND("/",P12)+1,10)),"")</f>
        <v>1</v>
      </c>
      <c r="R12" s="18" t="s">
        <v>117</v>
      </c>
      <c r="S12" s="19" t="n">
        <f aca="false">IFERROR(VALUE(LEFT(R12,FIND("/",R12)-1))/VALUE(MID(R12,FIND("/",R12)+1,10)),"")</f>
        <v>0.663265306122449</v>
      </c>
      <c r="T12" s="20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0"/>
  </cols>
  <sheetData>
    <row r="1" customFormat="false" ht="15" hidden="false" customHeight="false" outlineLevel="0" collapsed="false">
      <c r="A1" s="8" t="s">
        <v>7</v>
      </c>
      <c r="B1" s="8" t="s">
        <v>119</v>
      </c>
    </row>
    <row r="2" customFormat="false" ht="15" hidden="false" customHeight="false" outlineLevel="0" collapsed="false">
      <c r="A2" s="10" t="s">
        <v>53</v>
      </c>
      <c r="B2" s="21" t="n">
        <f aca="false">Data!S4</f>
        <v>0.826086956521739</v>
      </c>
    </row>
    <row r="3" customFormat="false" ht="15" hidden="false" customHeight="false" outlineLevel="0" collapsed="false">
      <c r="A3" s="10" t="s">
        <v>120</v>
      </c>
      <c r="B3" s="21" t="n">
        <f aca="false">Data!S2</f>
        <v>0.811594202898551</v>
      </c>
    </row>
    <row r="4" customFormat="false" ht="15" hidden="false" customHeight="false" outlineLevel="0" collapsed="false">
      <c r="A4" s="10" t="s">
        <v>121</v>
      </c>
      <c r="B4" s="21" t="n">
        <f aca="false">Data!S6</f>
        <v>0.809090909090909</v>
      </c>
    </row>
    <row r="5" customFormat="false" ht="15" hidden="false" customHeight="false" outlineLevel="0" collapsed="false">
      <c r="A5" s="10" t="s">
        <v>46</v>
      </c>
      <c r="B5" s="21" t="n">
        <f aca="false">Data!S3</f>
        <v>0.753623188405797</v>
      </c>
    </row>
    <row r="6" customFormat="false" ht="15" hidden="false" customHeight="false" outlineLevel="0" collapsed="false">
      <c r="A6" s="10" t="s">
        <v>122</v>
      </c>
      <c r="B6" s="21" t="n">
        <f aca="false">Data!S7</f>
        <v>0.627272727272727</v>
      </c>
    </row>
    <row r="7" customFormat="false" ht="15" hidden="false" customHeight="false" outlineLevel="0" collapsed="false">
      <c r="A7" s="10" t="s">
        <v>95</v>
      </c>
      <c r="B7" s="21" t="n">
        <f aca="false">Data!S10</f>
        <v>0.608695652173913</v>
      </c>
    </row>
    <row r="8" customFormat="false" ht="15" hidden="false" customHeight="false" outlineLevel="0" collapsed="false">
      <c r="A8" s="10" t="s">
        <v>123</v>
      </c>
      <c r="B8" s="21" t="n">
        <f aca="false">Data!S12</f>
        <v>0.663265306122449</v>
      </c>
    </row>
    <row r="11" customFormat="false" ht="16.15" hidden="false" customHeight="false" outlineLevel="0" collapsed="false">
      <c r="A11" s="7" t="s">
        <v>124</v>
      </c>
    </row>
    <row r="12" customFormat="false" ht="15" hidden="false" customHeight="false" outlineLevel="0" collapsed="false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</row>
    <row r="13" customFormat="false" ht="15" hidden="false" customHeight="false" outlineLevel="0" collapsed="false">
      <c r="A13" s="10" t="s">
        <v>53</v>
      </c>
      <c r="B13" s="11" t="n">
        <f aca="false">Data!E4</f>
        <v>0.769230769230769</v>
      </c>
      <c r="C13" s="11" t="n">
        <f aca="false">Data!G4</f>
        <v>1</v>
      </c>
      <c r="D13" s="11" t="n">
        <f aca="false">Data!I4</f>
        <v>0.823529411764706</v>
      </c>
      <c r="E13" s="11" t="n">
        <f aca="false">Data!K4</f>
        <v>0.538461538461538</v>
      </c>
      <c r="F13" s="11" t="n">
        <f aca="false">Data!M4</f>
        <v>1</v>
      </c>
      <c r="G13" s="11" t="n">
        <f aca="false">Data!O4</f>
        <v>1</v>
      </c>
      <c r="H13" s="11" t="str">
        <f aca="false">Data!Q4</f>
        <v/>
      </c>
    </row>
    <row r="14" customFormat="false" ht="15" hidden="false" customHeight="false" outlineLevel="0" collapsed="false">
      <c r="A14" s="10" t="s">
        <v>120</v>
      </c>
      <c r="B14" s="11" t="n">
        <f aca="false">Data!E2</f>
        <v>0.785714285714286</v>
      </c>
      <c r="C14" s="11" t="n">
        <f aca="false">Data!G2</f>
        <v>1</v>
      </c>
      <c r="D14" s="11" t="n">
        <f aca="false">Data!I2</f>
        <v>0.764705882352941</v>
      </c>
      <c r="E14" s="11" t="n">
        <f aca="false">Data!K2</f>
        <v>0.615384615384615</v>
      </c>
      <c r="F14" s="11" t="n">
        <f aca="false">Data!M2</f>
        <v>0.933333333333333</v>
      </c>
      <c r="G14" s="11" t="n">
        <f aca="false">Data!O2</f>
        <v>1</v>
      </c>
      <c r="H14" s="11" t="str">
        <f aca="false">Data!Q2</f>
        <v/>
      </c>
    </row>
    <row r="15" customFormat="false" ht="15" hidden="false" customHeight="false" outlineLevel="0" collapsed="false">
      <c r="A15" s="10" t="s">
        <v>121</v>
      </c>
      <c r="B15" s="11" t="n">
        <f aca="false">Data!E6</f>
        <v>0.821428571428571</v>
      </c>
      <c r="C15" s="11" t="n">
        <f aca="false">Data!G6</f>
        <v>1</v>
      </c>
      <c r="D15" s="11" t="n">
        <f aca="false">Data!I6</f>
        <v>0.6</v>
      </c>
      <c r="E15" s="11" t="n">
        <f aca="false">Data!K6</f>
        <v>0.461538461538462</v>
      </c>
      <c r="F15" s="11" t="n">
        <f aca="false">Data!M6</f>
        <v>0.666666666666667</v>
      </c>
      <c r="G15" s="11" t="n">
        <f aca="false">Data!O6</f>
        <v>0.833333333333333</v>
      </c>
      <c r="H15" s="11" t="n">
        <f aca="false">Data!Q6</f>
        <v>1</v>
      </c>
    </row>
    <row r="16" customFormat="false" ht="15" hidden="false" customHeight="false" outlineLevel="0" collapsed="false">
      <c r="A16" s="10" t="s">
        <v>46</v>
      </c>
      <c r="B16" s="11" t="n">
        <f aca="false">Data!E3</f>
        <v>0.714285714285714</v>
      </c>
      <c r="C16" s="11" t="n">
        <f aca="false">Data!G3</f>
        <v>1</v>
      </c>
      <c r="D16" s="11" t="n">
        <f aca="false">Data!I3</f>
        <v>0.705882352941177</v>
      </c>
      <c r="E16" s="11" t="n">
        <f aca="false">Data!K3</f>
        <v>0.615384615384615</v>
      </c>
      <c r="F16" s="11" t="n">
        <f aca="false">Data!M3</f>
        <v>0.8</v>
      </c>
      <c r="G16" s="11" t="n">
        <f aca="false">Data!O3</f>
        <v>1</v>
      </c>
      <c r="H16" s="11" t="str">
        <f aca="false">Data!Q3</f>
        <v/>
      </c>
    </row>
    <row r="17" customFormat="false" ht="15" hidden="false" customHeight="false" outlineLevel="0" collapsed="false">
      <c r="A17" s="10" t="s">
        <v>122</v>
      </c>
      <c r="B17" s="11" t="n">
        <f aca="false">Data!E7</f>
        <v>0.730769230769231</v>
      </c>
      <c r="C17" s="11" t="n">
        <f aca="false">Data!G7</f>
        <v>0.142857142857143</v>
      </c>
      <c r="D17" s="11" t="n">
        <f aca="false">Data!I7</f>
        <v>0.485714285714286</v>
      </c>
      <c r="E17" s="11" t="n">
        <f aca="false">Data!K7</f>
        <v>0.3</v>
      </c>
      <c r="F17" s="11" t="n">
        <f aca="false">Data!M7</f>
        <v>0.466666666666667</v>
      </c>
      <c r="G17" s="11" t="n">
        <f aca="false">Data!O7</f>
        <v>0.666666666666667</v>
      </c>
      <c r="H17" s="11" t="n">
        <f aca="false">Data!Q7</f>
        <v>1</v>
      </c>
    </row>
    <row r="18" customFormat="false" ht="15" hidden="false" customHeight="false" outlineLevel="0" collapsed="false">
      <c r="A18" s="10" t="s">
        <v>95</v>
      </c>
      <c r="B18" s="11" t="n">
        <f aca="false">Data!E10</f>
        <v>0.583333333333333</v>
      </c>
      <c r="C18" s="11" t="n">
        <f aca="false">Data!G10</f>
        <v>0.9</v>
      </c>
      <c r="D18" s="11" t="n">
        <f aca="false">Data!I10</f>
        <v>0.6</v>
      </c>
      <c r="E18" s="11" t="n">
        <f aca="false">Data!K10</f>
        <v>0.714285714285714</v>
      </c>
      <c r="F18" s="11" t="n">
        <f aca="false">Data!M10</f>
        <v>0.368421052631579</v>
      </c>
      <c r="G18" s="11" t="n">
        <f aca="false">Data!O10</f>
        <v>0.714285714285714</v>
      </c>
      <c r="H18" s="11" t="n">
        <f aca="false">Data!Q10</f>
        <v>1</v>
      </c>
    </row>
    <row r="19" customFormat="false" ht="15" hidden="false" customHeight="false" outlineLevel="0" collapsed="false">
      <c r="A19" s="10" t="s">
        <v>123</v>
      </c>
      <c r="B19" s="11" t="n">
        <f aca="false">Data!E12</f>
        <v>0.727272727272727</v>
      </c>
      <c r="C19" s="11" t="n">
        <f aca="false">Data!G12</f>
        <v>0.666666666666667</v>
      </c>
      <c r="D19" s="11" t="n">
        <f aca="false">Data!I12</f>
        <v>0.666666666666667</v>
      </c>
      <c r="E19" s="11" t="n">
        <f aca="false">Data!K12</f>
        <v>0.555555555555556</v>
      </c>
      <c r="F19" s="11" t="n">
        <f aca="false">Data!M12</f>
        <v>0.692307692307692</v>
      </c>
      <c r="G19" s="11" t="n">
        <f aca="false">Data!O12</f>
        <v>0.6</v>
      </c>
      <c r="H19" s="11" t="n">
        <f aca="false">Data!Q12</f>
        <v>1</v>
      </c>
    </row>
    <row r="22" customFormat="false" ht="16.15" hidden="false" customHeight="false" outlineLevel="0" collapsed="false">
      <c r="A22" s="7" t="s">
        <v>125</v>
      </c>
    </row>
    <row r="23" customFormat="false" ht="15" hidden="false" customHeight="false" outlineLevel="0" collapsed="false">
      <c r="A23" s="8" t="s">
        <v>17</v>
      </c>
      <c r="B23" s="8" t="s">
        <v>126</v>
      </c>
    </row>
    <row r="24" customFormat="false" ht="15" hidden="false" customHeight="false" outlineLevel="0" collapsed="false">
      <c r="A24" s="10" t="s">
        <v>37</v>
      </c>
      <c r="B24" s="10" t="n">
        <f aca="false">COUNTIF(Data!$C$2:$C$12,A24)</f>
        <v>6</v>
      </c>
    </row>
    <row r="25" customFormat="false" ht="15" hidden="false" customHeight="false" outlineLevel="0" collapsed="false">
      <c r="A25" s="10" t="s">
        <v>79</v>
      </c>
      <c r="B25" s="10" t="n">
        <f aca="false">COUNTIF(Data!$C$2:$C$12,A25)</f>
        <v>2</v>
      </c>
    </row>
    <row r="26" customFormat="false" ht="15" hidden="false" customHeight="false" outlineLevel="0" collapsed="false">
      <c r="A26" s="10" t="s">
        <v>90</v>
      </c>
      <c r="B26" s="10" t="n">
        <f aca="false">COUNTIF(Data!$C$2:$C$12,A26)</f>
        <v>1</v>
      </c>
    </row>
    <row r="27" customFormat="false" ht="15" hidden="false" customHeight="false" outlineLevel="0" collapsed="false">
      <c r="A27" s="10" t="s">
        <v>106</v>
      </c>
      <c r="B27" s="10" t="n">
        <f aca="false">COUNTIF(Data!$C$2:$C$12,A27)</f>
        <v>1</v>
      </c>
    </row>
    <row r="28" customFormat="false" ht="15" hidden="false" customHeight="false" outlineLevel="0" collapsed="false">
      <c r="A28" s="10" t="s">
        <v>110</v>
      </c>
      <c r="B28" s="10" t="n">
        <f aca="false">COUNTIF(Data!$C$2:$C$12,A28)</f>
        <v>1</v>
      </c>
    </row>
  </sheetData>
  <conditionalFormatting sqref="B13:H19">
    <cfRule type="colorScale" priority="2">
      <colorScale>
        <cfvo type="num" val="0"/>
        <cfvo type="num" val="0.5"/>
        <cfvo type="num" val="1"/>
        <color rgb="FFB4552F"/>
        <color rgb="FFC9A227"/>
        <color rgb="FF3E7A5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7" t="s">
        <v>127</v>
      </c>
    </row>
    <row r="2" customFormat="false" ht="15" hidden="false" customHeight="false" outlineLevel="0" collapsed="false">
      <c r="A2" s="8" t="s">
        <v>7</v>
      </c>
      <c r="B2" s="8" t="s">
        <v>34</v>
      </c>
    </row>
    <row r="3" customFormat="false" ht="48" hidden="false" customHeight="true" outlineLevel="0" collapsed="false">
      <c r="A3" s="22" t="s">
        <v>35</v>
      </c>
      <c r="B3" s="23" t="s">
        <v>45</v>
      </c>
    </row>
    <row r="4" customFormat="false" ht="48" hidden="false" customHeight="true" outlineLevel="0" collapsed="false">
      <c r="A4" s="22" t="s">
        <v>46</v>
      </c>
      <c r="B4" s="23" t="s">
        <v>52</v>
      </c>
    </row>
    <row r="5" customFormat="false" ht="48" hidden="false" customHeight="true" outlineLevel="0" collapsed="false">
      <c r="A5" s="22" t="s">
        <v>53</v>
      </c>
      <c r="B5" s="23" t="s">
        <v>61</v>
      </c>
    </row>
    <row r="6" customFormat="false" ht="48" hidden="false" customHeight="true" outlineLevel="0" collapsed="false">
      <c r="A6" s="22" t="s">
        <v>62</v>
      </c>
      <c r="B6" s="23" t="s">
        <v>65</v>
      </c>
    </row>
    <row r="7" customFormat="false" ht="48" hidden="false" customHeight="true" outlineLevel="0" collapsed="false">
      <c r="A7" s="22" t="s">
        <v>66</v>
      </c>
      <c r="B7" s="23" t="s">
        <v>76</v>
      </c>
    </row>
    <row r="8" customFormat="false" ht="48" hidden="false" customHeight="true" outlineLevel="0" collapsed="false">
      <c r="A8" s="22" t="s">
        <v>77</v>
      </c>
      <c r="B8" s="23" t="s">
        <v>87</v>
      </c>
    </row>
    <row r="9" customFormat="false" ht="48" hidden="false" customHeight="true" outlineLevel="0" collapsed="false">
      <c r="A9" s="22" t="s">
        <v>88</v>
      </c>
      <c r="B9" s="23" t="s">
        <v>91</v>
      </c>
    </row>
    <row r="10" customFormat="false" ht="48" hidden="false" customHeight="true" outlineLevel="0" collapsed="false">
      <c r="A10" s="22" t="s">
        <v>92</v>
      </c>
      <c r="B10" s="23" t="s">
        <v>94</v>
      </c>
    </row>
    <row r="11" customFormat="false" ht="48" hidden="false" customHeight="true" outlineLevel="0" collapsed="false">
      <c r="A11" s="22" t="s">
        <v>95</v>
      </c>
      <c r="B11" s="23" t="s">
        <v>103</v>
      </c>
    </row>
    <row r="12" customFormat="false" ht="48" hidden="false" customHeight="true" outlineLevel="0" collapsed="false">
      <c r="A12" s="22" t="s">
        <v>104</v>
      </c>
      <c r="B12" s="23" t="s">
        <v>107</v>
      </c>
    </row>
    <row r="13" customFormat="false" ht="48" hidden="false" customHeight="true" outlineLevel="0" collapsed="false">
      <c r="A13" s="22" t="s">
        <v>108</v>
      </c>
      <c r="B13" s="23" t="s">
        <v>118</v>
      </c>
    </row>
    <row r="16" customFormat="false" ht="16.15" hidden="false" customHeight="false" outlineLevel="0" collapsed="false">
      <c r="A16" s="7" t="s">
        <v>128</v>
      </c>
    </row>
    <row r="17" customFormat="false" ht="15" hidden="false" customHeight="false" outlineLevel="0" collapsed="false">
      <c r="A17" s="8" t="s">
        <v>129</v>
      </c>
      <c r="B17" s="8" t="s">
        <v>130</v>
      </c>
    </row>
    <row r="18" customFormat="false" ht="42" hidden="false" customHeight="true" outlineLevel="0" collapsed="false">
      <c r="A18" s="22" t="s">
        <v>131</v>
      </c>
      <c r="B18" s="23" t="s">
        <v>132</v>
      </c>
    </row>
    <row r="19" customFormat="false" ht="42" hidden="false" customHeight="true" outlineLevel="0" collapsed="false">
      <c r="A19" s="22" t="s">
        <v>133</v>
      </c>
      <c r="B19" s="23" t="s">
        <v>134</v>
      </c>
    </row>
    <row r="20" customFormat="false" ht="42" hidden="false" customHeight="true" outlineLevel="0" collapsed="false">
      <c r="A20" s="22" t="s">
        <v>135</v>
      </c>
      <c r="B20" s="23" t="s">
        <v>136</v>
      </c>
    </row>
    <row r="21" customFormat="false" ht="42" hidden="false" customHeight="true" outlineLevel="0" collapsed="false">
      <c r="A21" s="22" t="s">
        <v>137</v>
      </c>
      <c r="B21" s="23" t="s">
        <v>138</v>
      </c>
    </row>
    <row r="22" customFormat="false" ht="42" hidden="false" customHeight="true" outlineLevel="0" collapsed="false">
      <c r="A22" s="22" t="s">
        <v>139</v>
      </c>
      <c r="B22" s="23" t="s">
        <v>140</v>
      </c>
    </row>
    <row r="23" customFormat="false" ht="42" hidden="false" customHeight="true" outlineLevel="0" collapsed="false">
      <c r="A23" s="22" t="s">
        <v>141</v>
      </c>
      <c r="B23" s="23" t="s">
        <v>142</v>
      </c>
    </row>
    <row r="24" customFormat="false" ht="42" hidden="false" customHeight="true" outlineLevel="0" collapsed="false">
      <c r="A24" s="22" t="s">
        <v>143</v>
      </c>
      <c r="B24" s="23" t="s">
        <v>144</v>
      </c>
    </row>
    <row r="25" customFormat="false" ht="42" hidden="false" customHeight="true" outlineLevel="0" collapsed="false">
      <c r="A25" s="22" t="s">
        <v>145</v>
      </c>
      <c r="B25" s="23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0E09430E-CAF1-49D5-8395-6D3922CDACB3}"/>
</file>

<file path=customXml/itemProps2.xml><?xml version="1.0" encoding="utf-8"?>
<ds:datastoreItem xmlns:ds="http://schemas.openxmlformats.org/officeDocument/2006/customXml" ds:itemID="{FD374BA6-ACB5-42F5-9966-5A4543D0BD1E}"/>
</file>

<file path=customXml/itemProps3.xml><?xml version="1.0" encoding="utf-8"?>
<ds:datastoreItem xmlns:ds="http://schemas.openxmlformats.org/officeDocument/2006/customXml" ds:itemID="{5D1FE4AB-0754-42AA-8144-5B7A8705665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2026-09-22T04:09:01Z</dcterms:created>
  <dcterms:modified xsi:type="dcterms:W3CDTF">2026-09-22T04:09:09Z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</Properties>
</file>