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1" documentId="11_7DA1F4A8729C9EB4C0B573659E91EF785D3A2956" xr6:coauthVersionLast="47" xr6:coauthVersionMax="47" xr10:uidLastSave="{A0530A25-C821-48F4-81F0-89D802B008D1}"/>
  <bookViews>
    <workbookView xWindow="0" yWindow="0" windowWidth="16384" windowHeight="8192" tabRatio="500" firstSheet="6" activeTab="9" xr2:uid="{00000000-000D-0000-FFFF-FFFF00000000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6" r:id="rId6"/>
    <sheet name="Offset" sheetId="7" r:id="rId7"/>
    <sheet name="Secondary Data" sheetId="8" r:id="rId8"/>
    <sheet name="Summary" sheetId="9" r:id="rId9"/>
    <sheet name="Footprint" sheetId="10" r:id="rId10"/>
    <sheet name="Dropdowns" sheetId="11" state="hidden" r:id="rId11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_xlnm.Print_Area" localSheetId="10">Dropdowns!$A$1:$I$17</definedName>
    <definedName name="_xlnm.Print_Area" localSheetId="2">Electricity!$A$1:$H$37</definedName>
    <definedName name="_xlnm.Print_Area" localSheetId="0">'Fossil Fuel'!$A$1:$G$38</definedName>
    <definedName name="_xlnm.Print_Area" localSheetId="1">Fugitive!$A$1:$F$38</definedName>
    <definedName name="_xlnm.Print_Area" localSheetId="6">Offset!$A$1:$H$38</definedName>
    <definedName name="_xlnm.Print_Area" localSheetId="7">'Secondary Data'!$A$1:$N$39</definedName>
    <definedName name="_xlnm.Print_Area" localSheetId="8">Summary!$A$1:$F$50</definedName>
    <definedName name="_xlnm.Print_Area" localSheetId="5">Travel!$A$1:$K$38</definedName>
    <definedName name="_xlnm.Print_Area" localSheetId="4">Waste!$A$1:$H$38</definedName>
    <definedName name="_xlnm.Print_Area" localSheetId="3">Water!$A$1:$H$38</definedName>
    <definedName name="Public">Dropdowns!$A$7:$A$8</definedName>
    <definedName name="Small_Sized_Car">Dropdowns!$B$14:$B$16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0" i="10" l="1"/>
  <c r="A39" i="10"/>
  <c r="A38" i="10"/>
  <c r="B25" i="10"/>
  <c r="B24" i="10"/>
  <c r="B23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F15" i="9"/>
  <c r="F11" i="9"/>
  <c r="D10" i="10"/>
  <c r="F10" i="9"/>
  <c r="D9" i="10"/>
  <c r="F9" i="9"/>
  <c r="D8" i="10"/>
  <c r="F8" i="9"/>
  <c r="D7" i="10"/>
  <c r="F7" i="9"/>
  <c r="D6" i="10"/>
  <c r="F6" i="9"/>
  <c r="H38" i="8"/>
  <c r="I38" i="8"/>
  <c r="J38" i="8"/>
  <c r="H37" i="8"/>
  <c r="I37" i="8"/>
  <c r="J37" i="8"/>
  <c r="H36" i="8"/>
  <c r="I36" i="8"/>
  <c r="J36" i="8"/>
  <c r="H35" i="8"/>
  <c r="I35" i="8"/>
  <c r="J35" i="8"/>
  <c r="H34" i="8"/>
  <c r="I34" i="8"/>
  <c r="J34" i="8"/>
  <c r="H33" i="8"/>
  <c r="I33" i="8"/>
  <c r="J33" i="8"/>
  <c r="H32" i="8"/>
  <c r="I32" i="8"/>
  <c r="J32" i="8"/>
  <c r="H31" i="8"/>
  <c r="I31" i="8"/>
  <c r="J31" i="8"/>
  <c r="H30" i="8"/>
  <c r="I30" i="8"/>
  <c r="J30" i="8"/>
  <c r="H29" i="8"/>
  <c r="I29" i="8"/>
  <c r="J29" i="8"/>
  <c r="H28" i="8"/>
  <c r="I28" i="8"/>
  <c r="J28" i="8"/>
  <c r="H27" i="8"/>
  <c r="I27" i="8"/>
  <c r="J27" i="8"/>
  <c r="H26" i="8"/>
  <c r="I26" i="8"/>
  <c r="J26" i="8"/>
  <c r="H25" i="8"/>
  <c r="I25" i="8"/>
  <c r="J25" i="8"/>
  <c r="H24" i="8"/>
  <c r="I24" i="8"/>
  <c r="J24" i="8"/>
  <c r="H23" i="8"/>
  <c r="I23" i="8"/>
  <c r="J23" i="8"/>
  <c r="H22" i="8"/>
  <c r="I22" i="8"/>
  <c r="J22" i="8"/>
  <c r="H21" i="8"/>
  <c r="I21" i="8"/>
  <c r="J21" i="8"/>
  <c r="H20" i="8"/>
  <c r="I20" i="8"/>
  <c r="J20" i="8"/>
  <c r="H19" i="8"/>
  <c r="I19" i="8"/>
  <c r="J19" i="8"/>
  <c r="H18" i="8"/>
  <c r="I18" i="8"/>
  <c r="J18" i="8"/>
  <c r="H17" i="8"/>
  <c r="I17" i="8"/>
  <c r="J17" i="8"/>
  <c r="H16" i="8"/>
  <c r="I16" i="8"/>
  <c r="J16" i="8"/>
  <c r="H15" i="8"/>
  <c r="I15" i="8"/>
  <c r="J15" i="8"/>
  <c r="H14" i="8"/>
  <c r="I14" i="8"/>
  <c r="J14" i="8"/>
  <c r="H13" i="8"/>
  <c r="I13" i="8"/>
  <c r="J13" i="8"/>
  <c r="H12" i="8"/>
  <c r="I12" i="8"/>
  <c r="J12" i="8"/>
  <c r="H11" i="8"/>
  <c r="I11" i="8"/>
  <c r="J11" i="8"/>
  <c r="H10" i="8"/>
  <c r="I10" i="8"/>
  <c r="J10" i="8"/>
  <c r="H9" i="8"/>
  <c r="I9" i="8"/>
  <c r="J9" i="8"/>
  <c r="H8" i="8"/>
  <c r="I8" i="8"/>
  <c r="I39" i="8"/>
  <c r="J8" i="8"/>
  <c r="J39" i="8"/>
  <c r="F12" i="9"/>
  <c r="D11" i="10"/>
  <c r="D5" i="10"/>
  <c r="F13" i="9"/>
  <c r="F17" i="9"/>
  <c r="D12" i="10"/>
  <c r="A14" i="10"/>
  <c r="B22" i="10"/>
  <c r="A37" i="10"/>
</calcChain>
</file>

<file path=xl/sharedStrings.xml><?xml version="1.0" encoding="utf-8"?>
<sst xmlns="http://schemas.openxmlformats.org/spreadsheetml/2006/main" count="1342" uniqueCount="231">
  <si>
    <t>Compulsory</t>
  </si>
  <si>
    <t>Optional</t>
  </si>
  <si>
    <t>Either fill this</t>
  </si>
  <si>
    <t>Or this</t>
  </si>
  <si>
    <t>Don't Fill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</si>
  <si>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</si>
  <si>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</si>
  <si>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</si>
  <si>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</si>
  <si>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</si>
  <si>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</si>
  <si>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Enter the amount of fuel used</t>
  </si>
  <si>
    <t>Sr. No.</t>
  </si>
  <si>
    <t>Facility Name</t>
  </si>
  <si>
    <t>Year</t>
  </si>
  <si>
    <t>Month</t>
  </si>
  <si>
    <t>Fuel Type</t>
  </si>
  <si>
    <t>Unit</t>
  </si>
  <si>
    <t>Amount</t>
  </si>
  <si>
    <t>Shops, Bank and PO</t>
  </si>
  <si>
    <t>June</t>
  </si>
  <si>
    <t>Petrol/Gasoline</t>
  </si>
  <si>
    <t>kg</t>
  </si>
  <si>
    <t>Visitor's Hostel</t>
  </si>
  <si>
    <t>January</t>
  </si>
  <si>
    <t>Diesel</t>
  </si>
  <si>
    <t>Lawns and Horticulture</t>
  </si>
  <si>
    <t>October</t>
  </si>
  <si>
    <t>PNG</t>
  </si>
  <si>
    <t>Hostels</t>
  </si>
  <si>
    <t>February</t>
  </si>
  <si>
    <t>CNG</t>
  </si>
  <si>
    <t>Others</t>
  </si>
  <si>
    <t>April</t>
  </si>
  <si>
    <t>Academic Area</t>
  </si>
  <si>
    <t>March</t>
  </si>
  <si>
    <t>September</t>
  </si>
  <si>
    <t>Residential Areas</t>
  </si>
  <si>
    <t>May</t>
  </si>
  <si>
    <t>Servant's Quarters</t>
  </si>
  <si>
    <t>July</t>
  </si>
  <si>
    <t>LPG</t>
  </si>
  <si>
    <t>December</t>
  </si>
  <si>
    <t>November</t>
  </si>
  <si>
    <t>Dhobhighat</t>
  </si>
  <si>
    <t>Schools</t>
  </si>
  <si>
    <t>Don’t Fill This</t>
  </si>
  <si>
    <t>Choose The Application Type</t>
  </si>
  <si>
    <t>Enter The Number of Units</t>
  </si>
  <si>
    <t>Application Type</t>
  </si>
  <si>
    <t>Number of Units</t>
  </si>
  <si>
    <t>Commercial Refrigeration</t>
  </si>
  <si>
    <t>Industrial Refrigeration</t>
  </si>
  <si>
    <t xml:space="preserve">Residential and Commercial A/Cs </t>
  </si>
  <si>
    <t>Domestic Refrigeration</t>
  </si>
  <si>
    <t>August</t>
  </si>
  <si>
    <t>Health Centre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</si>
  <si>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</si>
  <si>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</si>
  <si>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</si>
  <si>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</si>
  <si>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</si>
  <si>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</si>
  <si>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</si>
  <si>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</si>
  <si>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Coal/Thermal</t>
  </si>
  <si>
    <t>Purchased</t>
  </si>
  <si>
    <t>kWH</t>
  </si>
  <si>
    <t>Solar</t>
  </si>
  <si>
    <t>Self-Produced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</si>
  <si>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</si>
  <si>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</si>
  <si>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</si>
  <si>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</si>
  <si>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</si>
  <si>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</si>
  <si>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Supplied Water</t>
  </si>
  <si>
    <t>Overhead Tank</t>
  </si>
  <si>
    <t>cubic metre</t>
  </si>
  <si>
    <t>Municipal Supply</t>
  </si>
  <si>
    <t>Treated Water</t>
  </si>
  <si>
    <t>Recycled Water Outlet</t>
  </si>
  <si>
    <t>Municipal Drain</t>
  </si>
  <si>
    <t>Sewage Treatment Plant</t>
  </si>
  <si>
    <t>Borewell</t>
  </si>
  <si>
    <t>Select the Waste Type</t>
  </si>
  <si>
    <t>Select the Waste Treatment Type</t>
  </si>
  <si>
    <t>Waste Type</t>
  </si>
  <si>
    <t>Waste Treatment Type</t>
  </si>
  <si>
    <t>Food and Drink Waste</t>
  </si>
  <si>
    <t>Composting</t>
  </si>
  <si>
    <t>Commercial and Industrial Waste</t>
  </si>
  <si>
    <t>Combustion</t>
  </si>
  <si>
    <t>Garden Waste</t>
  </si>
  <si>
    <t>Landfills</t>
  </si>
  <si>
    <t>Recycling</t>
  </si>
  <si>
    <t>Household Residue</t>
  </si>
  <si>
    <t>Select the Mode of Transport</t>
  </si>
  <si>
    <t>Select the type of Rail</t>
  </si>
  <si>
    <t>Select the Length of Flight</t>
  </si>
  <si>
    <t>Select The Vehicle Ownership</t>
  </si>
  <si>
    <t>Select The Vehicle Type</t>
  </si>
  <si>
    <t>Select The Fuel Type</t>
  </si>
  <si>
    <t>Enter the Distance Travelled in KM</t>
  </si>
  <si>
    <t>Mode of Transport</t>
  </si>
  <si>
    <t>Rail Type</t>
  </si>
  <si>
    <t>Length of Flight</t>
  </si>
  <si>
    <t>Vehicle Ownership</t>
  </si>
  <si>
    <t>Vehicle Type</t>
  </si>
  <si>
    <t>Distance Travelled (KM)</t>
  </si>
  <si>
    <t>Airways</t>
  </si>
  <si>
    <t>International</t>
  </si>
  <si>
    <t>Roadways</t>
  </si>
  <si>
    <t>Public</t>
  </si>
  <si>
    <t>Taxi</t>
  </si>
  <si>
    <t>Railways</t>
  </si>
  <si>
    <t>National Railways</t>
  </si>
  <si>
    <t>Bus</t>
  </si>
  <si>
    <t>Long Haul</t>
  </si>
  <si>
    <t>Domestic</t>
  </si>
  <si>
    <t>Metro</t>
  </si>
  <si>
    <t>Short Haul</t>
  </si>
  <si>
    <t>Personal</t>
  </si>
  <si>
    <t>Small Sized Car</t>
  </si>
  <si>
    <t>Electric</t>
  </si>
  <si>
    <t>Large Sized Car</t>
  </si>
  <si>
    <t>Motorcycle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</si>
  <si>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</si>
  <si>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</si>
  <si>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</si>
  <si>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</si>
  <si>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Number of Trees</t>
  </si>
  <si>
    <t>Area Under Soil</t>
  </si>
  <si>
    <t>Area Under Grass</t>
  </si>
  <si>
    <t>Area Under Water Bodies</t>
  </si>
  <si>
    <t>Select the category of purchased goods / services</t>
  </si>
  <si>
    <t>Select the unit of spend</t>
  </si>
  <si>
    <t>Enter the amount spent</t>
  </si>
  <si>
    <t>Auto-calculated</t>
  </si>
  <si>
    <t>Auto-calculated = Amount Spent x Emission Factor</t>
  </si>
  <si>
    <t>Auto-calculated = kg / 1000</t>
  </si>
  <si>
    <t>Category</t>
  </si>
  <si>
    <t>Emission Factor (kgCO2e / INR '000)</t>
  </si>
  <si>
    <t>Amount Spent</t>
  </si>
  <si>
    <t>Emission Factor</t>
  </si>
  <si>
    <t>CO2e Emissions (kg)</t>
  </si>
  <si>
    <t>CO2e Emissions (tonnes)</t>
  </si>
  <si>
    <t>Food &amp; Beverages</t>
  </si>
  <si>
    <t>Construction Materials</t>
  </si>
  <si>
    <t>INR '000 spent</t>
  </si>
  <si>
    <t>Paper &amp; Stationery</t>
  </si>
  <si>
    <t>Computers &amp; IT Equipment</t>
  </si>
  <si>
    <t>Clothing &amp; Textiles</t>
  </si>
  <si>
    <t>Furniture &amp; Fixtures</t>
  </si>
  <si>
    <t>Recreation &amp; Culture</t>
  </si>
  <si>
    <t>Financial &amp; Professional Services</t>
  </si>
  <si>
    <t>Pharmaceuticals &amp; Lab Supplies</t>
  </si>
  <si>
    <t>Hotels, Travel &amp; Conferences</t>
  </si>
  <si>
    <t>TOTAL CARBON FOOTPRINT (Secondary Data)</t>
  </si>
  <si>
    <t>Total Carbon Footprint</t>
  </si>
  <si>
    <t>All calculations below are formulas that read directly from the data tabs; nothing on the data tabs was altered.</t>
  </si>
  <si>
    <t>Emission Factor Reference Tables (rough / illustrative)</t>
  </si>
  <si>
    <t>Category Totals</t>
  </si>
  <si>
    <t>Fossil Fuel - by Fuel Type</t>
  </si>
  <si>
    <t>Factor</t>
  </si>
  <si>
    <t>tCO2e</t>
  </si>
  <si>
    <t>Petrol/Gasoline (kg CO2e/kg)</t>
  </si>
  <si>
    <t>Fossil Fuel</t>
  </si>
  <si>
    <t>Diesel (kg CO2e/kg)</t>
  </si>
  <si>
    <t>Fugitive</t>
  </si>
  <si>
    <t>LPG (kg CO2e/kg)</t>
  </si>
  <si>
    <t>Electricity</t>
  </si>
  <si>
    <t>PNG (kg CO2e/kg)</t>
  </si>
  <si>
    <t>Water</t>
  </si>
  <si>
    <t>CNG (kg CO2e/kg)</t>
  </si>
  <si>
    <t>Waste</t>
  </si>
  <si>
    <t>Travel</t>
  </si>
  <si>
    <t>Fugitive - by Application Type</t>
  </si>
  <si>
    <t>Secondary Data</t>
  </si>
  <si>
    <t>Domestic Refrigeration (kg CO2e/unit)</t>
  </si>
  <si>
    <t>Subtotal - Gross Emissions</t>
  </si>
  <si>
    <t>Commercial Refrigeration (kg CO2e/unit)</t>
  </si>
  <si>
    <t>Industrial Refrigeration (kg CO2e/unit)</t>
  </si>
  <si>
    <t>Less: Carbon Offset (sequestration)</t>
  </si>
  <si>
    <t>Residential and Commercial A/Cs (kg CO2e/unit)</t>
  </si>
  <si>
    <t>NET TOTAL CARBON FOOTPRINT</t>
  </si>
  <si>
    <t>Electricity - by Source Type</t>
  </si>
  <si>
    <t>Coal/Thermal (kg CO2e/kWh)</t>
  </si>
  <si>
    <t>Solar (kg CO2e/kWh)</t>
  </si>
  <si>
    <t>Water - by Type</t>
  </si>
  <si>
    <t>Supplied Water (kg CO2e/m3)</t>
  </si>
  <si>
    <t>Treated Water (kg CO2e/m3)</t>
  </si>
  <si>
    <t>Waste - by Treatment Type</t>
  </si>
  <si>
    <t>Landfills (kg CO2e/kg)</t>
  </si>
  <si>
    <t>Combustion (kg CO2e/kg)</t>
  </si>
  <si>
    <t>Recycling (kg CO2e/kg)</t>
  </si>
  <si>
    <t>Composting (kg CO2e/kg)</t>
  </si>
  <si>
    <t>Travel - by Mode</t>
  </si>
  <si>
    <t>Airways - Domestic (kg CO2e/km)</t>
  </si>
  <si>
    <t>Airways - Short Haul (kg CO2e/km)</t>
  </si>
  <si>
    <t>Airways - Long Haul (kg CO2e/km)</t>
  </si>
  <si>
    <t>Airways - International (kg CO2e/km)</t>
  </si>
  <si>
    <t>Railways - National Railways (kg CO2e/km)</t>
  </si>
  <si>
    <t>Railways - Metro (kg CO2e/km)</t>
  </si>
  <si>
    <t>Roadways - Bus (kg CO2e/km)</t>
  </si>
  <si>
    <t>Roadways - Taxi (kg CO2e/km)</t>
  </si>
  <si>
    <t>Roadways - Small Car (kg CO2e/km)</t>
  </si>
  <si>
    <t>Roadways - Medium Car (kg CO2e/km)</t>
  </si>
  <si>
    <t>Roadways - Large Car (kg CO2e/km)</t>
  </si>
  <si>
    <t>Roadways - Motorcycle (kg CO2e/km)</t>
  </si>
  <si>
    <t>Offset - per unit / year (rough)</t>
  </si>
  <si>
    <t>Trees (kg CO2/tree)</t>
  </si>
  <si>
    <t>Soil (kg CO2/km2)</t>
  </si>
  <si>
    <t>Grass (kg CO2/km2)</t>
  </si>
  <si>
    <t>Water Bodies (kg CO2/km2)</t>
  </si>
  <si>
    <t>Your Carbon Footprint</t>
  </si>
  <si>
    <t>Tick a category to include it in your footprint total. Values are pulled live from the Summary sheet; nothing on the data tabs is altered.</t>
  </si>
  <si>
    <t>Include</t>
  </si>
  <si>
    <t>Total (selected categories)</t>
  </si>
  <si>
    <t>Comparison Benchmarks (metric tons CO2e / year)</t>
  </si>
  <si>
    <t>Country Average</t>
  </si>
  <si>
    <t>e.g. per-capita average for your country — edit to match your context</t>
  </si>
  <si>
    <t>World Average</t>
  </si>
  <si>
    <t>Source: Global Carbon Project, world average per-capita footprint</t>
  </si>
  <si>
    <t>Reduction Target</t>
  </si>
  <si>
    <t>Worldwide target to combat climate change</t>
  </si>
  <si>
    <t>Footprint Comparison</t>
  </si>
  <si>
    <t>Your Footprint</t>
  </si>
  <si>
    <t>tonne</t>
  </si>
  <si>
    <t>litre</t>
  </si>
  <si>
    <t>Medium Sized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</si>
</sst>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20" x14ac:knownFonts="1">
    <font>
      <sz val="11"/>
      <color theme="1"/>
      <name val="Calibri"/>
      <family val="2"/>
      <charset val="1"/>
    </font>
    <font>
      <b/>
      <sz val="10"/>
      <color theme="1"/>
      <name val="Arial"/>
      <charset val="1"/>
    </font>
    <font>
      <b/>
      <sz val="10"/>
      <color rgb="FFFF0000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6"/>
      <color rgb="FF1F4E5F"/>
      <name val="Arial"/>
      <charset val="1"/>
    </font>
    <font>
      <i/>
      <sz val="9"/>
      <color rgb="FF7F7F7F"/>
      <name val="Arial"/>
      <charset val="1"/>
    </font>
    <font>
      <b/>
      <sz val="12"/>
      <name val="Calibri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3"/>
      <color rgb="FF000000"/>
      <name val="Arial"/>
      <charset val="1"/>
    </font>
    <font>
      <i/>
      <sz val="10"/>
      <color rgb="FF666666"/>
      <name val="Arial"/>
      <charset val="1"/>
    </font>
    <font>
      <b/>
      <sz val="13"/>
      <color rgb="FF1F7A1F"/>
      <name val="Arial"/>
      <charset val="1"/>
    </font>
    <font>
      <b/>
      <sz val="10"/>
      <color rgb="FF0000FF"/>
      <name val="Arial"/>
      <charset val="1"/>
    </font>
    <font>
      <i/>
      <sz val="9"/>
      <color rgb="FF80808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A9D08E"/>
        <bgColor rgb="FFA9D18E"/>
      </patternFill>
    </fill>
    <fill>
      <patternFill patternType="solid">
        <fgColor theme="9" tint="0.39988402966399123"/>
        <bgColor rgb="FFA9D08E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2F0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double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808080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14" fontId="5" fillId="2" borderId="1" xfId="0" applyNumberFormat="1" applyFont="1" applyFill="1" applyBorder="1" applyAlignment="1" applyProtection="1">
      <alignment horizontal="left" vertical="center"/>
      <protection locked="0"/>
    </xf>
    <xf numFmtId="164" fontId="5" fillId="2" borderId="1" xfId="0" applyNumberFormat="1" applyFont="1" applyFill="1" applyBorder="1" applyAlignment="1" applyProtection="1">
      <alignment horizontal="right" vertical="center"/>
      <protection locked="0"/>
    </xf>
    <xf numFmtId="0" fontId="6" fillId="2" borderId="0" xfId="0" applyFont="1" applyFill="1"/>
    <xf numFmtId="14" fontId="1" fillId="0" borderId="1" xfId="0" applyNumberFormat="1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2" fontId="5" fillId="2" borderId="1" xfId="0" applyNumberFormat="1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  <xf numFmtId="0" fontId="6" fillId="0" borderId="0" xfId="0" applyFont="1"/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2" fontId="9" fillId="11" borderId="2" xfId="0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/>
    </xf>
    <xf numFmtId="0" fontId="15" fillId="11" borderId="4" xfId="0" applyFont="1" applyFill="1" applyBorder="1" applyAlignment="1">
      <alignment horizontal="left" vertical="center"/>
    </xf>
    <xf numFmtId="4" fontId="15" fillId="11" borderId="4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8" fillId="0" borderId="1" xfId="0" applyFont="1" applyBorder="1"/>
    <xf numFmtId="4" fontId="8" fillId="0" borderId="1" xfId="0" applyNumberFormat="1" applyFont="1" applyBorder="1"/>
    <xf numFmtId="0" fontId="0" fillId="11" borderId="5" xfId="0" applyFill="1" applyBorder="1"/>
    <xf numFmtId="0" fontId="15" fillId="11" borderId="5" xfId="0" applyFont="1" applyFill="1" applyBorder="1"/>
    <xf numFmtId="4" fontId="15" fillId="11" borderId="5" xfId="0" applyNumberFormat="1" applyFont="1" applyFill="1" applyBorder="1"/>
    <xf numFmtId="0" fontId="8" fillId="0" borderId="0" xfId="0" applyFont="1"/>
    <xf numFmtId="4" fontId="18" fillId="0" borderId="1" xfId="0" applyNumberFormat="1" applyFont="1" applyBorder="1"/>
    <xf numFmtId="0" fontId="19" fillId="0" borderId="0" xfId="0" applyFont="1"/>
    <xf numFmtId="0" fontId="14" fillId="8" borderId="0" xfId="0" applyFont="1" applyFill="1"/>
    <xf numFmtId="4" fontId="8" fillId="0" borderId="0" xfId="0" applyNumberFormat="1" applyFont="1"/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10" fillId="0" borderId="0" xfId="0" applyFont="1" applyAlignment="1"/>
    <xf numFmtId="0" fontId="16" fillId="0" borderId="0" xfId="0" applyFont="1" applyAlignment="1"/>
    <xf numFmtId="0" fontId="17" fillId="12" borderId="6" xfId="0" applyFont="1" applyFill="1" applyBorder="1" applyAlignment="1">
      <alignment horizontal="center" vertical="center"/>
    </xf>
    <xf numFmtId="0" fontId="14" fillId="0" borderId="0" xfId="0" applyFont="1" applyAlignment="1"/>
  </cellXfs>
  <cellStyles count="1">
    <cellStyle name="Normal" xfId="0" builtinId="0"/>
  </cellStyles>
  <dxfs count="6"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A9D18E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DC3E6"/>
      <rgbColor rgb="FFFF99CC"/>
      <rgbColor rgb="FFB3B3B3"/>
      <rgbColor rgb="FFF4B183"/>
      <rgbColor rgb="FF4472C4"/>
      <rgbColor rgb="FF33CCCC"/>
      <rgbColor rgb="FFA9D08E"/>
      <rgbColor rgb="FFFFC000"/>
      <rgbColor rgb="FFFF9900"/>
      <rgbColor rgb="FFFF6600"/>
      <rgbColor rgb="FF666666"/>
      <rgbColor rgb="FF7F7F7F"/>
      <rgbColor rgb="FF1F4E5F"/>
      <rgbColor rgb="FF70AD47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18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1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Your Footprint vs Country &amp; World Averages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Footprint!B21</c:f>
              <c:strCache>
                <c:ptCount val="1"/>
                <c:pt idx="0">
                  <c:v>tCO2e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5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529-4B28-9669-C1FBE99E5825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529-4B28-9669-C1FBE99E5825}"/>
              </c:ext>
            </c:extLst>
          </c:dPt>
          <c:dPt>
            <c:idx val="2"/>
            <c:invertIfNegative val="0"/>
            <c:bubble3D val="0"/>
            <c:spPr>
              <a:solidFill>
                <a:srgbClr val="A9D08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529-4B28-9669-C1FBE99E5825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529-4B28-9669-C1FBE99E582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29-4B28-9669-C1FBE99E582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29-4B28-9669-C1FBE99E582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29-4B28-9669-C1FBE99E582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29-4B28-9669-C1FBE99E58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Footprint!$A$22:$A$25</c:f>
              <c:strCache>
                <c:ptCount val="4"/>
                <c:pt idx="0">
                  <c:v>Your Footprint</c:v>
                </c:pt>
                <c:pt idx="1">
                  <c:v>Country Average</c:v>
                </c:pt>
                <c:pt idx="2">
                  <c:v>World Average</c:v>
                </c:pt>
                <c:pt idx="3">
                  <c:v>Reduction Target</c:v>
                </c:pt>
              </c:strCache>
            </c:strRef>
          </c:cat>
          <c:val>
            <c:numRef>
              <c:f>Footprint!$B$22:$B$25</c:f>
              <c:numCache>
                <c:formatCode>#,##0.00</c:formatCode>
                <c:ptCount val="4"/>
                <c:pt idx="0">
                  <c:v>562.23772999999994</c:v>
                </c:pt>
                <c:pt idx="1">
                  <c:v>1.9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9-4B28-9669-C1FBE99E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5281"/>
        <c:axId val="32135919"/>
      </c:barChart>
      <c:catAx>
        <c:axId val="9925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35919"/>
        <c:crosses val="autoZero"/>
        <c:auto val="1"/>
        <c:lblAlgn val="ctr"/>
        <c:lblOffset val="100"/>
        <c:noMultiLvlLbl val="0"/>
      </c:catAx>
      <c:valAx>
        <c:axId val="321359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metric tons 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5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10</xdr:col>
      <xdr:colOff>526320</xdr:colOff>
      <xdr:row>16</xdr:row>
      <xdr:rowOff>93240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zoomScaleNormal="100" workbookViewId="0">
      <pane ySplit="7" topLeftCell="A8" activePane="bottomLeft" state="frozen"/>
      <selection pane="bottomLeft" activeCell="A8" sqref="A8"/>
    </sheetView>
  </sheetViews>
  <sheetFormatPr defaultColWidth="8.7421875" defaultRowHeight="15" x14ac:dyDescent="0.2"/>
  <cols>
    <col min="1" max="1" width="25.9609375" customWidth="1"/>
    <col min="2" max="6" width="34.03125" customWidth="1"/>
    <col min="7" max="7" width="32.015625" customWidth="1"/>
  </cols>
  <sheetData>
    <row r="1" spans="1:7" ht="14.25" customHeight="1" x14ac:dyDescent="0.2">
      <c r="A1" s="1" t="s">
        <v>0</v>
      </c>
      <c r="B1" s="1"/>
      <c r="C1" s="1"/>
      <c r="D1" s="2"/>
      <c r="E1" s="2"/>
      <c r="F1" s="2"/>
      <c r="G1" s="2"/>
    </row>
    <row r="2" spans="1:7" ht="14.25" customHeight="1" x14ac:dyDescent="0.2">
      <c r="A2" s="3" t="s">
        <v>1</v>
      </c>
      <c r="B2" s="3"/>
      <c r="C2" s="3"/>
      <c r="D2" s="2"/>
      <c r="E2" s="2"/>
      <c r="F2" s="2"/>
      <c r="G2" s="2"/>
    </row>
    <row r="3" spans="1:7" ht="14.25" customHeight="1" x14ac:dyDescent="0.2">
      <c r="A3" s="4" t="s">
        <v>2</v>
      </c>
      <c r="B3" s="4"/>
      <c r="C3" s="4"/>
      <c r="D3" s="2"/>
      <c r="E3" s="2"/>
      <c r="F3" s="2"/>
      <c r="G3" s="2"/>
    </row>
    <row r="4" spans="1:7" ht="14.25" customHeight="1" x14ac:dyDescent="0.2">
      <c r="A4" s="5" t="s">
        <v>3</v>
      </c>
      <c r="B4" s="5"/>
      <c r="C4" s="5"/>
      <c r="D4" s="2"/>
      <c r="E4" s="2"/>
      <c r="F4" s="2"/>
      <c r="G4" s="2"/>
    </row>
    <row r="5" spans="1:7" ht="14.25" customHeight="1" x14ac:dyDescent="0.2">
      <c r="A5" s="6" t="s">
        <v>4</v>
      </c>
      <c r="B5" s="6"/>
      <c r="C5" s="6"/>
      <c r="D5" s="2"/>
      <c r="E5" s="2"/>
      <c r="F5" s="2"/>
      <c r="G5" s="7"/>
    </row>
    <row r="6" spans="1:7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</row>
    <row r="7" spans="1:7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16</v>
      </c>
      <c r="F7" s="10" t="s">
        <v>17</v>
      </c>
      <c r="G7" s="9" t="s">
        <v>18</v>
      </c>
    </row>
    <row r="8" spans="1:7" ht="14.25" customHeight="1" x14ac:dyDescent="0.2">
      <c r="A8" s="11">
        <v>1</v>
      </c>
      <c r="B8" s="12" t="s">
        <v>19</v>
      </c>
      <c r="C8" s="11">
        <v>2023</v>
      </c>
      <c r="D8" s="13" t="s">
        <v>20</v>
      </c>
      <c r="E8" s="12" t="s">
        <v>21</v>
      </c>
      <c r="F8" s="12" t="s">
        <v>22</v>
      </c>
      <c r="G8" s="14">
        <v>629</v>
      </c>
    </row>
    <row r="9" spans="1:7" ht="14.25" customHeight="1" x14ac:dyDescent="0.2">
      <c r="A9" s="11">
        <v>2</v>
      </c>
      <c r="B9" s="12" t="s">
        <v>23</v>
      </c>
      <c r="C9" s="11">
        <v>2024</v>
      </c>
      <c r="D9" s="13" t="s">
        <v>24</v>
      </c>
      <c r="E9" s="12" t="s">
        <v>25</v>
      </c>
      <c r="F9" s="12" t="s">
        <v>22</v>
      </c>
      <c r="G9" s="14">
        <v>496</v>
      </c>
    </row>
    <row r="10" spans="1:7" ht="14.25" customHeight="1" x14ac:dyDescent="0.2">
      <c r="A10" s="11">
        <v>3</v>
      </c>
      <c r="B10" s="12" t="s">
        <v>26</v>
      </c>
      <c r="C10" s="11">
        <v>2023</v>
      </c>
      <c r="D10" s="13" t="s">
        <v>27</v>
      </c>
      <c r="E10" s="12" t="s">
        <v>28</v>
      </c>
      <c r="F10" s="12" t="s">
        <v>22</v>
      </c>
      <c r="G10" s="14">
        <v>335</v>
      </c>
    </row>
    <row r="11" spans="1:7" ht="14.25" customHeight="1" x14ac:dyDescent="0.2">
      <c r="A11" s="11">
        <v>4</v>
      </c>
      <c r="B11" s="12" t="s">
        <v>29</v>
      </c>
      <c r="C11" s="11">
        <v>2024</v>
      </c>
      <c r="D11" s="13" t="s">
        <v>30</v>
      </c>
      <c r="E11" s="12" t="s">
        <v>31</v>
      </c>
      <c r="F11" s="12" t="s">
        <v>22</v>
      </c>
      <c r="G11" s="14">
        <v>949</v>
      </c>
    </row>
    <row r="12" spans="1:7" ht="14.25" customHeight="1" x14ac:dyDescent="0.2">
      <c r="A12" s="11">
        <v>5</v>
      </c>
      <c r="B12" s="12" t="s">
        <v>29</v>
      </c>
      <c r="C12" s="11">
        <v>2024</v>
      </c>
      <c r="D12" s="13" t="s">
        <v>24</v>
      </c>
      <c r="E12" s="12" t="s">
        <v>25</v>
      </c>
      <c r="F12" s="12" t="s">
        <v>22</v>
      </c>
      <c r="G12" s="14">
        <v>896</v>
      </c>
    </row>
    <row r="13" spans="1:7" ht="14.25" customHeight="1" x14ac:dyDescent="0.2">
      <c r="A13" s="11">
        <v>6</v>
      </c>
      <c r="B13" s="12" t="s">
        <v>23</v>
      </c>
      <c r="C13" s="11">
        <v>2023</v>
      </c>
      <c r="D13" s="13" t="s">
        <v>27</v>
      </c>
      <c r="E13" s="12" t="s">
        <v>28</v>
      </c>
      <c r="F13" s="12" t="s">
        <v>22</v>
      </c>
      <c r="G13" s="14">
        <v>313</v>
      </c>
    </row>
    <row r="14" spans="1:7" ht="14.25" customHeight="1" x14ac:dyDescent="0.2">
      <c r="A14" s="11">
        <v>7</v>
      </c>
      <c r="B14" s="12" t="s">
        <v>32</v>
      </c>
      <c r="C14" s="11">
        <v>2024</v>
      </c>
      <c r="D14" s="13" t="s">
        <v>33</v>
      </c>
      <c r="E14" s="12" t="s">
        <v>31</v>
      </c>
      <c r="F14" s="12" t="s">
        <v>22</v>
      </c>
      <c r="G14" s="14">
        <v>359</v>
      </c>
    </row>
    <row r="15" spans="1:7" ht="14.25" customHeight="1" x14ac:dyDescent="0.2">
      <c r="A15" s="11">
        <v>8</v>
      </c>
      <c r="B15" s="12" t="s">
        <v>34</v>
      </c>
      <c r="C15" s="11">
        <v>2023</v>
      </c>
      <c r="D15" s="13" t="s">
        <v>27</v>
      </c>
      <c r="E15" s="12" t="s">
        <v>28</v>
      </c>
      <c r="F15" s="12" t="s">
        <v>22</v>
      </c>
      <c r="G15" s="14">
        <v>862</v>
      </c>
    </row>
    <row r="16" spans="1:7" ht="14.25" customHeight="1" x14ac:dyDescent="0.2">
      <c r="A16" s="11">
        <v>9</v>
      </c>
      <c r="B16" s="12" t="s">
        <v>23</v>
      </c>
      <c r="C16" s="11">
        <v>2024</v>
      </c>
      <c r="D16" s="13" t="s">
        <v>35</v>
      </c>
      <c r="E16" s="12" t="s">
        <v>31</v>
      </c>
      <c r="F16" s="12" t="s">
        <v>22</v>
      </c>
      <c r="G16" s="14">
        <v>630</v>
      </c>
    </row>
    <row r="17" spans="1:7" ht="14.25" customHeight="1" x14ac:dyDescent="0.2">
      <c r="A17" s="11">
        <v>10</v>
      </c>
      <c r="B17" s="12" t="s">
        <v>29</v>
      </c>
      <c r="C17" s="11">
        <v>2024</v>
      </c>
      <c r="D17" s="13" t="s">
        <v>36</v>
      </c>
      <c r="E17" s="12" t="s">
        <v>28</v>
      </c>
      <c r="F17" s="12" t="s">
        <v>22</v>
      </c>
      <c r="G17" s="14">
        <v>717</v>
      </c>
    </row>
    <row r="18" spans="1:7" ht="14.25" customHeight="1" x14ac:dyDescent="0.2">
      <c r="A18" s="11">
        <v>11</v>
      </c>
      <c r="B18" s="12" t="s">
        <v>19</v>
      </c>
      <c r="C18" s="11">
        <v>2022</v>
      </c>
      <c r="D18" s="13" t="s">
        <v>36</v>
      </c>
      <c r="E18" s="12" t="s">
        <v>25</v>
      </c>
      <c r="F18" s="12" t="s">
        <v>22</v>
      </c>
      <c r="G18" s="14">
        <v>501</v>
      </c>
    </row>
    <row r="19" spans="1:7" ht="14.25" customHeight="1" x14ac:dyDescent="0.2">
      <c r="A19" s="11">
        <v>12</v>
      </c>
      <c r="B19" s="12" t="s">
        <v>37</v>
      </c>
      <c r="C19" s="11">
        <v>2023</v>
      </c>
      <c r="D19" s="13" t="s">
        <v>38</v>
      </c>
      <c r="E19" s="12" t="s">
        <v>21</v>
      </c>
      <c r="F19" s="12" t="s">
        <v>22</v>
      </c>
      <c r="G19" s="14">
        <v>263</v>
      </c>
    </row>
    <row r="20" spans="1:7" ht="14.25" customHeight="1" x14ac:dyDescent="0.2">
      <c r="A20" s="11">
        <v>13</v>
      </c>
      <c r="B20" s="12" t="s">
        <v>39</v>
      </c>
      <c r="C20" s="11">
        <v>2022</v>
      </c>
      <c r="D20" s="13" t="s">
        <v>40</v>
      </c>
      <c r="E20" s="12" t="s">
        <v>28</v>
      </c>
      <c r="F20" s="12" t="s">
        <v>22</v>
      </c>
      <c r="G20" s="14">
        <v>222</v>
      </c>
    </row>
    <row r="21" spans="1:7" ht="14.25" customHeight="1" x14ac:dyDescent="0.2">
      <c r="A21" s="11">
        <v>14</v>
      </c>
      <c r="B21" s="12" t="s">
        <v>29</v>
      </c>
      <c r="C21" s="11">
        <v>2024</v>
      </c>
      <c r="D21" s="13" t="s">
        <v>40</v>
      </c>
      <c r="E21" s="12" t="s">
        <v>41</v>
      </c>
      <c r="F21" s="12" t="s">
        <v>22</v>
      </c>
      <c r="G21" s="14">
        <v>947</v>
      </c>
    </row>
    <row r="22" spans="1:7" ht="14.25" customHeight="1" x14ac:dyDescent="0.2">
      <c r="A22" s="11">
        <v>15</v>
      </c>
      <c r="B22" s="12" t="s">
        <v>23</v>
      </c>
      <c r="C22" s="11">
        <v>2023</v>
      </c>
      <c r="D22" s="13" t="s">
        <v>33</v>
      </c>
      <c r="E22" s="12" t="s">
        <v>28</v>
      </c>
      <c r="F22" s="12" t="s">
        <v>22</v>
      </c>
      <c r="G22" s="14">
        <v>136</v>
      </c>
    </row>
    <row r="23" spans="1:7" ht="14.25" customHeight="1" x14ac:dyDescent="0.2">
      <c r="A23" s="11">
        <v>16</v>
      </c>
      <c r="B23" s="12" t="s">
        <v>29</v>
      </c>
      <c r="C23" s="11">
        <v>2024</v>
      </c>
      <c r="D23" s="13" t="s">
        <v>27</v>
      </c>
      <c r="E23" s="12" t="s">
        <v>21</v>
      </c>
      <c r="F23" s="12" t="s">
        <v>22</v>
      </c>
      <c r="G23" s="14">
        <v>74</v>
      </c>
    </row>
    <row r="24" spans="1:7" ht="14.25" customHeight="1" x14ac:dyDescent="0.2">
      <c r="A24" s="11">
        <v>17</v>
      </c>
      <c r="B24" s="12" t="s">
        <v>19</v>
      </c>
      <c r="C24" s="11">
        <v>2024</v>
      </c>
      <c r="D24" s="13" t="s">
        <v>38</v>
      </c>
      <c r="E24" s="12" t="s">
        <v>31</v>
      </c>
      <c r="F24" s="12" t="s">
        <v>22</v>
      </c>
      <c r="G24" s="14">
        <v>702</v>
      </c>
    </row>
    <row r="25" spans="1:7" ht="14.25" customHeight="1" x14ac:dyDescent="0.2">
      <c r="A25" s="11">
        <v>18</v>
      </c>
      <c r="B25" s="12" t="s">
        <v>37</v>
      </c>
      <c r="C25" s="11">
        <v>2022</v>
      </c>
      <c r="D25" s="13" t="s">
        <v>42</v>
      </c>
      <c r="E25" s="12" t="s">
        <v>25</v>
      </c>
      <c r="F25" s="12" t="s">
        <v>22</v>
      </c>
      <c r="G25" s="14">
        <v>162</v>
      </c>
    </row>
    <row r="26" spans="1:7" ht="14.25" customHeight="1" x14ac:dyDescent="0.2">
      <c r="A26" s="11">
        <v>19</v>
      </c>
      <c r="B26" s="12" t="s">
        <v>39</v>
      </c>
      <c r="C26" s="11">
        <v>2022</v>
      </c>
      <c r="D26" s="13" t="s">
        <v>43</v>
      </c>
      <c r="E26" s="12" t="s">
        <v>41</v>
      </c>
      <c r="F26" s="12" t="s">
        <v>22</v>
      </c>
      <c r="G26" s="14">
        <v>718</v>
      </c>
    </row>
    <row r="27" spans="1:7" ht="14.25" customHeight="1" x14ac:dyDescent="0.2">
      <c r="A27" s="11">
        <v>20</v>
      </c>
      <c r="B27" s="12" t="s">
        <v>39</v>
      </c>
      <c r="C27" s="11">
        <v>2023</v>
      </c>
      <c r="D27" s="13" t="s">
        <v>40</v>
      </c>
      <c r="E27" s="12" t="s">
        <v>41</v>
      </c>
      <c r="F27" s="12" t="s">
        <v>22</v>
      </c>
      <c r="G27" s="14">
        <v>495</v>
      </c>
    </row>
    <row r="28" spans="1:7" ht="14.25" customHeight="1" x14ac:dyDescent="0.2">
      <c r="A28" s="11">
        <v>21</v>
      </c>
      <c r="B28" s="12" t="s">
        <v>44</v>
      </c>
      <c r="C28" s="11">
        <v>2024</v>
      </c>
      <c r="D28" s="13" t="s">
        <v>43</v>
      </c>
      <c r="E28" s="12" t="s">
        <v>25</v>
      </c>
      <c r="F28" s="12" t="s">
        <v>22</v>
      </c>
      <c r="G28" s="14">
        <v>683</v>
      </c>
    </row>
    <row r="29" spans="1:7" ht="14.25" customHeight="1" x14ac:dyDescent="0.2">
      <c r="A29" s="11">
        <v>22</v>
      </c>
      <c r="B29" s="12" t="s">
        <v>23</v>
      </c>
      <c r="C29" s="11">
        <v>2024</v>
      </c>
      <c r="D29" s="13" t="s">
        <v>36</v>
      </c>
      <c r="E29" s="12" t="s">
        <v>28</v>
      </c>
      <c r="F29" s="12" t="s">
        <v>22</v>
      </c>
      <c r="G29" s="14">
        <v>659</v>
      </c>
    </row>
    <row r="30" spans="1:7" ht="14.25" customHeight="1" x14ac:dyDescent="0.2">
      <c r="A30" s="11">
        <v>23</v>
      </c>
      <c r="B30" s="12" t="s">
        <v>37</v>
      </c>
      <c r="C30" s="11">
        <v>2024</v>
      </c>
      <c r="D30" s="13" t="s">
        <v>24</v>
      </c>
      <c r="E30" s="12" t="s">
        <v>28</v>
      </c>
      <c r="F30" s="12" t="s">
        <v>22</v>
      </c>
      <c r="G30" s="14">
        <v>946</v>
      </c>
    </row>
    <row r="31" spans="1:7" ht="14.25" customHeight="1" x14ac:dyDescent="0.2">
      <c r="A31" s="11">
        <v>24</v>
      </c>
      <c r="B31" s="12" t="s">
        <v>45</v>
      </c>
      <c r="C31" s="11">
        <v>2024</v>
      </c>
      <c r="D31" s="13" t="s">
        <v>36</v>
      </c>
      <c r="E31" s="12" t="s">
        <v>25</v>
      </c>
      <c r="F31" s="12" t="s">
        <v>22</v>
      </c>
      <c r="G31" s="14">
        <v>753</v>
      </c>
    </row>
    <row r="32" spans="1:7" ht="14.25" customHeight="1" x14ac:dyDescent="0.2">
      <c r="A32" s="11">
        <v>25</v>
      </c>
      <c r="B32" s="12" t="s">
        <v>34</v>
      </c>
      <c r="C32" s="11">
        <v>2024</v>
      </c>
      <c r="D32" s="13" t="s">
        <v>38</v>
      </c>
      <c r="E32" s="12" t="s">
        <v>41</v>
      </c>
      <c r="F32" s="12" t="s">
        <v>22</v>
      </c>
      <c r="G32" s="14">
        <v>760</v>
      </c>
    </row>
    <row r="33" spans="1:7" ht="14.25" customHeight="1" x14ac:dyDescent="0.2">
      <c r="A33" s="11">
        <v>26</v>
      </c>
      <c r="B33" s="12" t="s">
        <v>32</v>
      </c>
      <c r="C33" s="11">
        <v>2023</v>
      </c>
      <c r="D33" s="13" t="s">
        <v>24</v>
      </c>
      <c r="E33" s="12" t="s">
        <v>41</v>
      </c>
      <c r="F33" s="12" t="s">
        <v>22</v>
      </c>
      <c r="G33" s="14">
        <v>923</v>
      </c>
    </row>
    <row r="34" spans="1:7" ht="14.25" customHeight="1" x14ac:dyDescent="0.2">
      <c r="A34" s="11">
        <v>27</v>
      </c>
      <c r="B34" s="12" t="s">
        <v>19</v>
      </c>
      <c r="C34" s="11">
        <v>2023</v>
      </c>
      <c r="D34" s="13" t="s">
        <v>36</v>
      </c>
      <c r="E34" s="12" t="s">
        <v>25</v>
      </c>
      <c r="F34" s="12" t="s">
        <v>22</v>
      </c>
      <c r="G34" s="14">
        <v>694</v>
      </c>
    </row>
    <row r="35" spans="1:7" ht="14.25" customHeight="1" x14ac:dyDescent="0.2">
      <c r="A35" s="11">
        <v>28</v>
      </c>
      <c r="B35" s="12" t="s">
        <v>34</v>
      </c>
      <c r="C35" s="11">
        <v>2022</v>
      </c>
      <c r="D35" s="13" t="s">
        <v>20</v>
      </c>
      <c r="E35" s="12" t="s">
        <v>41</v>
      </c>
      <c r="F35" s="12" t="s">
        <v>22</v>
      </c>
      <c r="G35" s="14">
        <v>122</v>
      </c>
    </row>
    <row r="36" spans="1:7" ht="14.25" customHeight="1" x14ac:dyDescent="0.2">
      <c r="A36" s="11">
        <v>29</v>
      </c>
      <c r="B36" s="12" t="s">
        <v>45</v>
      </c>
      <c r="C36" s="11">
        <v>2023</v>
      </c>
      <c r="D36" s="13" t="s">
        <v>40</v>
      </c>
      <c r="E36" s="12" t="s">
        <v>25</v>
      </c>
      <c r="F36" s="12" t="s">
        <v>22</v>
      </c>
      <c r="G36" s="14">
        <v>200</v>
      </c>
    </row>
    <row r="37" spans="1:7" ht="14.25" customHeight="1" x14ac:dyDescent="0.2">
      <c r="A37" s="11">
        <v>30</v>
      </c>
      <c r="B37" s="12" t="s">
        <v>44</v>
      </c>
      <c r="C37" s="11">
        <v>2023</v>
      </c>
      <c r="D37" s="13" t="s">
        <v>27</v>
      </c>
      <c r="E37" s="12" t="s">
        <v>28</v>
      </c>
      <c r="F37" s="12" t="s">
        <v>22</v>
      </c>
      <c r="G37" s="14">
        <v>211</v>
      </c>
    </row>
    <row r="38" spans="1:7" ht="14.25" customHeight="1" x14ac:dyDescent="0.2">
      <c r="A38" s="11">
        <v>31</v>
      </c>
      <c r="B38" s="12" t="s">
        <v>19</v>
      </c>
      <c r="C38" s="11">
        <v>2022</v>
      </c>
      <c r="D38" s="13" t="s">
        <v>20</v>
      </c>
      <c r="E38" s="12" t="s">
        <v>31</v>
      </c>
      <c r="F38" s="12" t="s">
        <v>22</v>
      </c>
      <c r="G38" s="14">
        <v>139</v>
      </c>
    </row>
    <row r="39" spans="1:7" ht="14.25" customHeight="1" x14ac:dyDescent="0.2">
      <c r="A39" s="15"/>
      <c r="B39" s="15"/>
      <c r="C39" s="15"/>
      <c r="D39" s="15"/>
      <c r="E39" s="15"/>
      <c r="F39" s="15"/>
      <c r="G39" s="15"/>
    </row>
  </sheetData>
  <conditionalFormatting sqref="F8:F38">
    <cfRule type="expression" dxfId="5" priority="2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8:D38" xr:uid="{00000000-0002-0000-0000-000000000000}">
      <formula1>"January,February,March,April,May,June,July,August,September,October,November,December"</formula1>
      <formula2>0</formula2>
    </dataValidation>
    <dataValidation type="list" allowBlank="1" showInputMessage="1" showErrorMessage="1" sqref="E8:E38" xr:uid="{00000000-0002-0000-0000-000001000000}">
      <formula1>"CNG,Petrol/Gasoline,Diesel,LPG,PNG"</formula1>
      <formula2>0</formula2>
    </dataValidation>
    <dataValidation type="custom" allowBlank="1" showInputMessage="1" showErrorMessage="1" errorTitle="Error" error="Entered value should be a number." sqref="G8:G38" xr:uid="{00000000-0002-0000-0000-000002000000}">
      <formula1>ISNUMBER(G8)</formula1>
      <formula2>0</formula2>
    </dataValidation>
    <dataValidation type="whole" operator="greaterThan" allowBlank="1" showInputMessage="1" showErrorMessage="1" sqref="A8:A38" xr:uid="{00000000-0002-0000-0000-000003000000}">
      <formula1>0</formula1>
      <formula2>0</formula2>
    </dataValidation>
    <dataValidation type="list" allowBlank="1" showInputMessage="1" showErrorMessage="1" errorTitle="Error" error="Entered data doesn't match with the dropdown data." sqref="F8:F1038" xr:uid="{00000000-0002-0000-0000-000004000000}">
      <formula1>INDIRECT(SUBSTITUTE(E8, "/", "_"))</formula1>
      <formula2>0</formula2>
    </dataValidation>
    <dataValidation type="list" allowBlank="1" showInputMessage="1" showErrorMessage="1" sqref="B8:B1038" xr:uid="{00000000-0002-0000-0000-000005000000}">
      <formula1>"Residential Areas,Hostels,Academic Area,Health Centre,Schools,Visitor's Hostel,Servant's Quarters,Shops,Bank and PO,Lawns and Horticulture,Dhobhighat,Others"</formula1>
      <formula2>0</formula2>
    </dataValidation>
    <dataValidation type="whole" allowBlank="1" showInputMessage="1" showErrorMessage="1" error="Enter a valid year out of 2022 or 2023" sqref="C8:C1038" xr:uid="{00000000-0002-0000-0000-000006000000}">
      <formula1>2022</formula1>
      <formula2>2023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9"/>
  <sheetViews>
    <sheetView zoomScaleNormal="100" workbookViewId="0">
      <pane ySplit="7" topLeftCell="A8" activePane="bottomLeft" state="frozen"/>
      <selection pane="bottomLeft" activeCell="F8" sqref="F8"/>
    </sheetView>
  </sheetViews>
  <sheetFormatPr defaultColWidth="8.7421875" defaultRowHeight="15" x14ac:dyDescent="0.2"/>
  <cols>
    <col min="1" max="1" width="25.9609375" customWidth="1"/>
    <col min="2" max="5" width="34.03125" customWidth="1"/>
    <col min="6" max="6" width="27.98046875" customWidth="1"/>
  </cols>
  <sheetData>
    <row r="1" spans="1:6" ht="14.25" customHeight="1" x14ac:dyDescent="0.2">
      <c r="A1" s="1"/>
      <c r="B1" s="1" t="s">
        <v>0</v>
      </c>
      <c r="C1" s="1"/>
      <c r="D1" s="16"/>
      <c r="E1" s="2"/>
      <c r="F1" s="2"/>
    </row>
    <row r="2" spans="1:6" ht="14.25" customHeight="1" x14ac:dyDescent="0.2">
      <c r="A2" s="3"/>
      <c r="B2" s="3" t="s">
        <v>1</v>
      </c>
      <c r="C2" s="3"/>
      <c r="D2" s="2"/>
      <c r="E2" s="2"/>
      <c r="F2" s="2"/>
    </row>
    <row r="3" spans="1:6" ht="14.25" customHeight="1" x14ac:dyDescent="0.2">
      <c r="A3" s="4"/>
      <c r="B3" s="4" t="s">
        <v>2</v>
      </c>
      <c r="C3" s="4"/>
      <c r="D3" s="2"/>
      <c r="E3" s="2"/>
      <c r="F3" s="2"/>
    </row>
    <row r="4" spans="1:6" ht="14.25" customHeight="1" x14ac:dyDescent="0.2">
      <c r="A4" s="5"/>
      <c r="B4" s="5" t="s">
        <v>3</v>
      </c>
      <c r="C4" s="5"/>
      <c r="D4" s="2"/>
      <c r="E4" s="2"/>
      <c r="F4" s="2"/>
    </row>
    <row r="5" spans="1:6" ht="14.25" customHeight="1" x14ac:dyDescent="0.2">
      <c r="A5" s="6"/>
      <c r="B5" s="6" t="s">
        <v>46</v>
      </c>
      <c r="C5" s="6"/>
      <c r="D5" s="2"/>
      <c r="E5" s="2"/>
      <c r="F5" s="2"/>
    </row>
    <row r="6" spans="1:6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47</v>
      </c>
      <c r="F6" s="8" t="s">
        <v>48</v>
      </c>
    </row>
    <row r="7" spans="1:6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49</v>
      </c>
      <c r="F7" s="10" t="s">
        <v>50</v>
      </c>
    </row>
    <row r="8" spans="1:6" ht="14.25" customHeight="1" x14ac:dyDescent="0.2">
      <c r="A8" s="11">
        <v>1</v>
      </c>
      <c r="B8" s="12" t="s">
        <v>39</v>
      </c>
      <c r="C8" s="11">
        <v>2024</v>
      </c>
      <c r="D8" s="13" t="s">
        <v>27</v>
      </c>
      <c r="E8" s="12" t="s">
        <v>51</v>
      </c>
      <c r="F8" s="14">
        <v>10</v>
      </c>
    </row>
    <row r="9" spans="1:6" ht="14.25" customHeight="1" x14ac:dyDescent="0.2">
      <c r="A9" s="11">
        <v>2</v>
      </c>
      <c r="B9" s="12" t="s">
        <v>34</v>
      </c>
      <c r="C9" s="11">
        <v>2024</v>
      </c>
      <c r="D9" s="13" t="s">
        <v>30</v>
      </c>
      <c r="E9" s="12" t="s">
        <v>52</v>
      </c>
      <c r="F9" s="14">
        <v>8</v>
      </c>
    </row>
    <row r="10" spans="1:6" ht="14.25" customHeight="1" x14ac:dyDescent="0.2">
      <c r="A10" s="11">
        <v>3</v>
      </c>
      <c r="B10" s="12" t="s">
        <v>32</v>
      </c>
      <c r="C10" s="11">
        <v>2024</v>
      </c>
      <c r="D10" s="13" t="s">
        <v>40</v>
      </c>
      <c r="E10" s="12" t="s">
        <v>53</v>
      </c>
      <c r="F10" s="14">
        <v>1</v>
      </c>
    </row>
    <row r="11" spans="1:6" ht="14.25" customHeight="1" x14ac:dyDescent="0.2">
      <c r="A11" s="11">
        <v>4</v>
      </c>
      <c r="B11" s="12" t="s">
        <v>37</v>
      </c>
      <c r="C11" s="11">
        <v>2022</v>
      </c>
      <c r="D11" s="13" t="s">
        <v>20</v>
      </c>
      <c r="E11" s="12" t="s">
        <v>51</v>
      </c>
      <c r="F11" s="14">
        <v>3</v>
      </c>
    </row>
    <row r="12" spans="1:6" ht="14.25" customHeight="1" x14ac:dyDescent="0.2">
      <c r="A12" s="11">
        <v>5</v>
      </c>
      <c r="B12" s="12" t="s">
        <v>39</v>
      </c>
      <c r="C12" s="11">
        <v>2023</v>
      </c>
      <c r="D12" s="13" t="s">
        <v>42</v>
      </c>
      <c r="E12" s="12" t="s">
        <v>52</v>
      </c>
      <c r="F12" s="14">
        <v>5</v>
      </c>
    </row>
    <row r="13" spans="1:6" ht="14.25" customHeight="1" x14ac:dyDescent="0.2">
      <c r="A13" s="11">
        <v>6</v>
      </c>
      <c r="B13" s="12" t="s">
        <v>32</v>
      </c>
      <c r="C13" s="11">
        <v>2022</v>
      </c>
      <c r="D13" s="13" t="s">
        <v>43</v>
      </c>
      <c r="E13" s="12" t="s">
        <v>53</v>
      </c>
      <c r="F13" s="14">
        <v>8</v>
      </c>
    </row>
    <row r="14" spans="1:6" ht="14.25" customHeight="1" x14ac:dyDescent="0.2">
      <c r="A14" s="11">
        <v>7</v>
      </c>
      <c r="B14" s="12" t="s">
        <v>45</v>
      </c>
      <c r="C14" s="11">
        <v>2022</v>
      </c>
      <c r="D14" s="13" t="s">
        <v>20</v>
      </c>
      <c r="E14" s="12" t="s">
        <v>54</v>
      </c>
      <c r="F14" s="14">
        <v>11</v>
      </c>
    </row>
    <row r="15" spans="1:6" ht="14.25" customHeight="1" x14ac:dyDescent="0.2">
      <c r="A15" s="11">
        <v>8</v>
      </c>
      <c r="B15" s="12" t="s">
        <v>45</v>
      </c>
      <c r="C15" s="11">
        <v>2024</v>
      </c>
      <c r="D15" s="13" t="s">
        <v>36</v>
      </c>
      <c r="E15" s="12" t="s">
        <v>54</v>
      </c>
      <c r="F15" s="14">
        <v>3</v>
      </c>
    </row>
    <row r="16" spans="1:6" ht="14.25" customHeight="1" x14ac:dyDescent="0.2">
      <c r="A16" s="11">
        <v>9</v>
      </c>
      <c r="B16" s="12" t="s">
        <v>44</v>
      </c>
      <c r="C16" s="11">
        <v>2022</v>
      </c>
      <c r="D16" s="13" t="s">
        <v>30</v>
      </c>
      <c r="E16" s="12" t="s">
        <v>51</v>
      </c>
      <c r="F16" s="14">
        <v>11</v>
      </c>
    </row>
    <row r="17" spans="1:6" ht="14.25" customHeight="1" x14ac:dyDescent="0.2">
      <c r="A17" s="11">
        <v>10</v>
      </c>
      <c r="B17" s="12" t="s">
        <v>44</v>
      </c>
      <c r="C17" s="11">
        <v>2023</v>
      </c>
      <c r="D17" s="13" t="s">
        <v>38</v>
      </c>
      <c r="E17" s="12" t="s">
        <v>51</v>
      </c>
      <c r="F17" s="14">
        <v>5</v>
      </c>
    </row>
    <row r="18" spans="1:6" ht="14.25" customHeight="1" x14ac:dyDescent="0.2">
      <c r="A18" s="11">
        <v>11</v>
      </c>
      <c r="B18" s="12" t="s">
        <v>19</v>
      </c>
      <c r="C18" s="11">
        <v>2022</v>
      </c>
      <c r="D18" s="13" t="s">
        <v>42</v>
      </c>
      <c r="E18" s="12" t="s">
        <v>52</v>
      </c>
      <c r="F18" s="14">
        <v>4</v>
      </c>
    </row>
    <row r="19" spans="1:6" ht="14.25" customHeight="1" x14ac:dyDescent="0.2">
      <c r="A19" s="11">
        <v>12</v>
      </c>
      <c r="B19" s="12" t="s">
        <v>19</v>
      </c>
      <c r="C19" s="11">
        <v>2022</v>
      </c>
      <c r="D19" s="13" t="s">
        <v>27</v>
      </c>
      <c r="E19" s="12" t="s">
        <v>53</v>
      </c>
      <c r="F19" s="14">
        <v>12</v>
      </c>
    </row>
    <row r="20" spans="1:6" ht="14.25" customHeight="1" x14ac:dyDescent="0.2">
      <c r="A20" s="11">
        <v>13</v>
      </c>
      <c r="B20" s="12" t="s">
        <v>32</v>
      </c>
      <c r="C20" s="11">
        <v>2024</v>
      </c>
      <c r="D20" s="13" t="s">
        <v>33</v>
      </c>
      <c r="E20" s="12" t="s">
        <v>54</v>
      </c>
      <c r="F20" s="14">
        <v>5</v>
      </c>
    </row>
    <row r="21" spans="1:6" ht="14.25" customHeight="1" x14ac:dyDescent="0.2">
      <c r="A21" s="11">
        <v>14</v>
      </c>
      <c r="B21" s="12" t="s">
        <v>39</v>
      </c>
      <c r="C21" s="11">
        <v>2024</v>
      </c>
      <c r="D21" s="13" t="s">
        <v>38</v>
      </c>
      <c r="E21" s="12" t="s">
        <v>53</v>
      </c>
      <c r="F21" s="14">
        <v>7</v>
      </c>
    </row>
    <row r="22" spans="1:6" ht="14.25" customHeight="1" x14ac:dyDescent="0.2">
      <c r="A22" s="11">
        <v>15</v>
      </c>
      <c r="B22" s="12" t="s">
        <v>45</v>
      </c>
      <c r="C22" s="11">
        <v>2023</v>
      </c>
      <c r="D22" s="13" t="s">
        <v>33</v>
      </c>
      <c r="E22" s="12" t="s">
        <v>51</v>
      </c>
      <c r="F22" s="14">
        <v>1</v>
      </c>
    </row>
    <row r="23" spans="1:6" ht="14.25" customHeight="1" x14ac:dyDescent="0.2">
      <c r="A23" s="11">
        <v>16</v>
      </c>
      <c r="B23" s="12" t="s">
        <v>37</v>
      </c>
      <c r="C23" s="11">
        <v>2022</v>
      </c>
      <c r="D23" s="13" t="s">
        <v>43</v>
      </c>
      <c r="E23" s="12" t="s">
        <v>51</v>
      </c>
      <c r="F23" s="14">
        <v>8</v>
      </c>
    </row>
    <row r="24" spans="1:6" ht="14.25" customHeight="1" x14ac:dyDescent="0.2">
      <c r="A24" s="11">
        <v>17</v>
      </c>
      <c r="B24" s="12" t="s">
        <v>39</v>
      </c>
      <c r="C24" s="11">
        <v>2024</v>
      </c>
      <c r="D24" s="13" t="s">
        <v>40</v>
      </c>
      <c r="E24" s="12" t="s">
        <v>54</v>
      </c>
      <c r="F24" s="14">
        <v>8</v>
      </c>
    </row>
    <row r="25" spans="1:6" ht="14.25" customHeight="1" x14ac:dyDescent="0.2">
      <c r="A25" s="11">
        <v>18</v>
      </c>
      <c r="B25" s="12" t="s">
        <v>19</v>
      </c>
      <c r="C25" s="11">
        <v>2023</v>
      </c>
      <c r="D25" s="13" t="s">
        <v>24</v>
      </c>
      <c r="E25" s="12" t="s">
        <v>52</v>
      </c>
      <c r="F25" s="14">
        <v>4</v>
      </c>
    </row>
    <row r="26" spans="1:6" ht="14.25" customHeight="1" x14ac:dyDescent="0.2">
      <c r="A26" s="11">
        <v>19</v>
      </c>
      <c r="B26" s="12" t="s">
        <v>26</v>
      </c>
      <c r="C26" s="11">
        <v>2023</v>
      </c>
      <c r="D26" s="13" t="s">
        <v>55</v>
      </c>
      <c r="E26" s="12" t="s">
        <v>53</v>
      </c>
      <c r="F26" s="14">
        <v>9</v>
      </c>
    </row>
    <row r="27" spans="1:6" ht="14.25" customHeight="1" x14ac:dyDescent="0.2">
      <c r="A27" s="11">
        <v>20</v>
      </c>
      <c r="B27" s="12" t="s">
        <v>39</v>
      </c>
      <c r="C27" s="11">
        <v>2023</v>
      </c>
      <c r="D27" s="13" t="s">
        <v>24</v>
      </c>
      <c r="E27" s="12" t="s">
        <v>51</v>
      </c>
      <c r="F27" s="14">
        <v>11</v>
      </c>
    </row>
    <row r="28" spans="1:6" ht="14.25" customHeight="1" x14ac:dyDescent="0.2">
      <c r="A28" s="11">
        <v>21</v>
      </c>
      <c r="B28" s="12" t="s">
        <v>45</v>
      </c>
      <c r="C28" s="11">
        <v>2023</v>
      </c>
      <c r="D28" s="13" t="s">
        <v>42</v>
      </c>
      <c r="E28" s="12" t="s">
        <v>53</v>
      </c>
      <c r="F28" s="14">
        <v>6</v>
      </c>
    </row>
    <row r="29" spans="1:6" ht="14.25" customHeight="1" x14ac:dyDescent="0.2">
      <c r="A29" s="11">
        <v>22</v>
      </c>
      <c r="B29" s="12" t="s">
        <v>23</v>
      </c>
      <c r="C29" s="11">
        <v>2023</v>
      </c>
      <c r="D29" s="13" t="s">
        <v>35</v>
      </c>
      <c r="E29" s="12" t="s">
        <v>51</v>
      </c>
      <c r="F29" s="14">
        <v>2</v>
      </c>
    </row>
    <row r="30" spans="1:6" ht="14.25" customHeight="1" x14ac:dyDescent="0.2">
      <c r="A30" s="11">
        <v>23</v>
      </c>
      <c r="B30" s="12" t="s">
        <v>23</v>
      </c>
      <c r="C30" s="11">
        <v>2024</v>
      </c>
      <c r="D30" s="13" t="s">
        <v>20</v>
      </c>
      <c r="E30" s="12" t="s">
        <v>52</v>
      </c>
      <c r="F30" s="14">
        <v>3</v>
      </c>
    </row>
    <row r="31" spans="1:6" ht="14.25" customHeight="1" x14ac:dyDescent="0.2">
      <c r="A31" s="11">
        <v>24</v>
      </c>
      <c r="B31" s="12" t="s">
        <v>34</v>
      </c>
      <c r="C31" s="11">
        <v>2023</v>
      </c>
      <c r="D31" s="13" t="s">
        <v>55</v>
      </c>
      <c r="E31" s="12" t="s">
        <v>52</v>
      </c>
      <c r="F31" s="14">
        <v>10</v>
      </c>
    </row>
    <row r="32" spans="1:6" ht="14.25" customHeight="1" x14ac:dyDescent="0.2">
      <c r="A32" s="11">
        <v>25</v>
      </c>
      <c r="B32" s="12" t="s">
        <v>45</v>
      </c>
      <c r="C32" s="11">
        <v>2022</v>
      </c>
      <c r="D32" s="13" t="s">
        <v>55</v>
      </c>
      <c r="E32" s="12" t="s">
        <v>54</v>
      </c>
      <c r="F32" s="14">
        <v>10</v>
      </c>
    </row>
    <row r="33" spans="1:6" ht="14.25" customHeight="1" x14ac:dyDescent="0.2">
      <c r="A33" s="11">
        <v>26</v>
      </c>
      <c r="B33" s="12" t="s">
        <v>26</v>
      </c>
      <c r="C33" s="11">
        <v>2023</v>
      </c>
      <c r="D33" s="13" t="s">
        <v>35</v>
      </c>
      <c r="E33" s="12" t="s">
        <v>52</v>
      </c>
      <c r="F33" s="14">
        <v>12</v>
      </c>
    </row>
    <row r="34" spans="1:6" ht="14.25" customHeight="1" x14ac:dyDescent="0.2">
      <c r="A34" s="11">
        <v>27</v>
      </c>
      <c r="B34" s="12" t="s">
        <v>32</v>
      </c>
      <c r="C34" s="11">
        <v>2023</v>
      </c>
      <c r="D34" s="13" t="s">
        <v>55</v>
      </c>
      <c r="E34" s="12" t="s">
        <v>52</v>
      </c>
      <c r="F34" s="14">
        <v>6</v>
      </c>
    </row>
    <row r="35" spans="1:6" ht="14.25" customHeight="1" x14ac:dyDescent="0.2">
      <c r="A35" s="11">
        <v>28</v>
      </c>
      <c r="B35" s="12" t="s">
        <v>56</v>
      </c>
      <c r="C35" s="11">
        <v>2024</v>
      </c>
      <c r="D35" s="13" t="s">
        <v>55</v>
      </c>
      <c r="E35" s="12" t="s">
        <v>54</v>
      </c>
      <c r="F35" s="14">
        <v>11</v>
      </c>
    </row>
    <row r="36" spans="1:6" ht="14.25" customHeight="1" x14ac:dyDescent="0.2">
      <c r="A36" s="11">
        <v>29</v>
      </c>
      <c r="B36" s="12" t="s">
        <v>34</v>
      </c>
      <c r="C36" s="11">
        <v>2024</v>
      </c>
      <c r="D36" s="13" t="s">
        <v>42</v>
      </c>
      <c r="E36" s="12" t="s">
        <v>53</v>
      </c>
      <c r="F36" s="14">
        <v>3</v>
      </c>
    </row>
    <row r="37" spans="1:6" ht="14.25" customHeight="1" x14ac:dyDescent="0.2">
      <c r="A37" s="11">
        <v>30</v>
      </c>
      <c r="B37" s="12" t="s">
        <v>56</v>
      </c>
      <c r="C37" s="11">
        <v>2022</v>
      </c>
      <c r="D37" s="13" t="s">
        <v>30</v>
      </c>
      <c r="E37" s="12" t="s">
        <v>52</v>
      </c>
      <c r="F37" s="14">
        <v>8</v>
      </c>
    </row>
    <row r="38" spans="1:6" ht="14.25" customHeight="1" x14ac:dyDescent="0.2">
      <c r="A38" s="11">
        <v>31</v>
      </c>
      <c r="B38" s="12" t="s">
        <v>26</v>
      </c>
      <c r="C38" s="11">
        <v>2024</v>
      </c>
      <c r="D38" s="13" t="s">
        <v>20</v>
      </c>
      <c r="E38" s="12" t="s">
        <v>54</v>
      </c>
      <c r="F38" s="14">
        <v>5</v>
      </c>
    </row>
    <row r="39" spans="1:6" ht="14.25" customHeight="1" x14ac:dyDescent="0.2">
      <c r="A39" s="15"/>
      <c r="B39" s="15"/>
      <c r="C39" s="15"/>
      <c r="D39" s="15"/>
      <c r="E39" s="15"/>
      <c r="F39" s="15"/>
    </row>
  </sheetData>
  <dataValidations count="6">
    <dataValidation type="whole" operator="greaterThan" allowBlank="1" showInputMessage="1" showErrorMessage="1" sqref="A8:A38" xr:uid="{00000000-0002-0000-0100-000000000000}">
      <formula1>0</formula1>
      <formula2>0</formula2>
    </dataValidation>
    <dataValidation type="custom" allowBlank="1" showInputMessage="1" showErrorMessage="1" sqref="F8:G1038" xr:uid="{00000000-0002-0000-0100-000001000000}">
      <formula1>ISNUMBER(F8)</formula1>
      <formula2>0</formula2>
    </dataValidation>
    <dataValidation type="list" operator="greaterThan" allowBlank="1" showInputMessage="1" showErrorMessage="1" error="Enter a valid date." sqref="D8:D38" xr:uid="{00000000-0002-0000-0100-000002000000}">
      <formula1>"January,February,March,April,May,June,July,August,September,October,November,December"</formula1>
      <formula2>0</formula2>
    </dataValidation>
    <dataValidation type="list" allowBlank="1" showInputMessage="1" showErrorMessage="1" sqref="E8:E1038" xr:uid="{00000000-0002-0000-0100-000003000000}">
      <formula1>"Domestic Refrigeration,Commercial Refrigeration,Industrial Refrigeration,Residential and Commercial A/Cs "</formula1>
      <formula2>0</formula2>
    </dataValidation>
    <dataValidation type="list" allowBlank="1" showInputMessage="1" showErrorMessage="1" sqref="B8:B1038" xr:uid="{00000000-0002-0000-0100-000004000000}">
      <formula1>"Residential Areas,Hostels,Academic Area,Health Centre,Schools,Visitor's Hostel,Servant's Quarters,Shops/Bank/PO,Lawns and Horticulture,Dhobhighat,Others"</formula1>
      <formula2>0</formula2>
    </dataValidation>
    <dataValidation type="whole" allowBlank="1" showInputMessage="1" showErrorMessage="1" error="Enter a valid year out of 2022 and 2023" sqref="C8:C1038" xr:uid="{00000000-0002-0000-0100-000005000000}">
      <formula1>2022</formula1>
      <formula2>2023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8"/>
  <sheetViews>
    <sheetView zoomScaleNormal="100" workbookViewId="0">
      <pane ySplit="6" topLeftCell="A7" activePane="bottomLeft" state="frozen"/>
      <selection pane="bottomLeft" activeCell="H7" sqref="H7"/>
    </sheetView>
  </sheetViews>
  <sheetFormatPr defaultColWidth="8.7421875" defaultRowHeight="15" x14ac:dyDescent="0.2"/>
  <cols>
    <col min="1" max="1" width="25.9609375" customWidth="1"/>
    <col min="2" max="8" width="34.03125" customWidth="1"/>
  </cols>
  <sheetData>
    <row r="1" spans="1:8" ht="14.25" customHeight="1" x14ac:dyDescent="0.2">
      <c r="A1" s="17"/>
      <c r="B1" s="1" t="s">
        <v>0</v>
      </c>
      <c r="C1" s="1"/>
      <c r="D1" s="2"/>
      <c r="E1" s="2"/>
      <c r="F1" s="2"/>
      <c r="G1" s="2"/>
      <c r="H1" s="2"/>
    </row>
    <row r="2" spans="1:8" ht="14.25" customHeight="1" x14ac:dyDescent="0.2">
      <c r="A2" s="4"/>
      <c r="B2" s="4" t="s">
        <v>2</v>
      </c>
      <c r="C2" s="4"/>
      <c r="D2" s="2"/>
      <c r="E2" s="2"/>
      <c r="F2" s="2"/>
      <c r="G2" s="2"/>
      <c r="H2" s="2"/>
    </row>
    <row r="3" spans="1:8" ht="14.25" customHeight="1" x14ac:dyDescent="0.2">
      <c r="A3" s="5"/>
      <c r="B3" s="5" t="s">
        <v>3</v>
      </c>
      <c r="C3" s="5"/>
      <c r="D3" s="2"/>
      <c r="E3" s="2"/>
      <c r="F3" s="2"/>
      <c r="G3" s="2"/>
      <c r="H3" s="2"/>
    </row>
    <row r="4" spans="1:8" ht="14.25" customHeight="1" x14ac:dyDescent="0.2">
      <c r="A4" s="6"/>
      <c r="B4" s="6" t="s">
        <v>46</v>
      </c>
      <c r="C4" s="6"/>
      <c r="D4" s="2"/>
      <c r="E4" s="2"/>
      <c r="F4" s="2"/>
      <c r="G4" s="2"/>
      <c r="H4" s="7"/>
    </row>
    <row r="5" spans="1:8" ht="42" customHeight="1" x14ac:dyDescent="0.2">
      <c r="A5" s="8" t="s">
        <v>5</v>
      </c>
      <c r="B5" s="8" t="s">
        <v>6</v>
      </c>
      <c r="C5" s="8" t="s">
        <v>7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</row>
    <row r="6" spans="1:8" ht="19.5" customHeight="1" x14ac:dyDescent="0.2">
      <c r="A6" s="9" t="s">
        <v>12</v>
      </c>
      <c r="B6" s="9" t="s">
        <v>13</v>
      </c>
      <c r="C6" s="9" t="s">
        <v>14</v>
      </c>
      <c r="D6" s="9" t="s">
        <v>15</v>
      </c>
      <c r="E6" s="9" t="s">
        <v>62</v>
      </c>
      <c r="F6" s="9" t="s">
        <v>63</v>
      </c>
      <c r="G6" s="9" t="s">
        <v>17</v>
      </c>
      <c r="H6" s="9" t="s">
        <v>64</v>
      </c>
    </row>
    <row r="7" spans="1:8" ht="14.25" customHeight="1" x14ac:dyDescent="0.2">
      <c r="A7" s="11">
        <v>1</v>
      </c>
      <c r="B7" s="12" t="s">
        <v>45</v>
      </c>
      <c r="C7" s="11">
        <v>2024</v>
      </c>
      <c r="D7" s="13" t="s">
        <v>33</v>
      </c>
      <c r="E7" s="13" t="s">
        <v>65</v>
      </c>
      <c r="F7" s="13" t="s">
        <v>66</v>
      </c>
      <c r="G7" s="12" t="s">
        <v>67</v>
      </c>
      <c r="H7" s="14">
        <v>13594</v>
      </c>
    </row>
    <row r="8" spans="1:8" ht="14.25" customHeight="1" x14ac:dyDescent="0.2">
      <c r="A8" s="11">
        <v>2</v>
      </c>
      <c r="B8" s="12" t="s">
        <v>32</v>
      </c>
      <c r="C8" s="11">
        <v>2024</v>
      </c>
      <c r="D8" s="13" t="s">
        <v>24</v>
      </c>
      <c r="E8" s="13" t="s">
        <v>65</v>
      </c>
      <c r="F8" s="13" t="s">
        <v>66</v>
      </c>
      <c r="G8" s="12" t="s">
        <v>67</v>
      </c>
      <c r="H8" s="14">
        <v>7731</v>
      </c>
    </row>
    <row r="9" spans="1:8" ht="14.25" customHeight="1" x14ac:dyDescent="0.2">
      <c r="A9" s="11">
        <v>3</v>
      </c>
      <c r="B9" s="12" t="s">
        <v>19</v>
      </c>
      <c r="C9" s="11">
        <v>2023</v>
      </c>
      <c r="D9" s="13" t="s">
        <v>40</v>
      </c>
      <c r="E9" s="13" t="s">
        <v>65</v>
      </c>
      <c r="F9" s="13" t="s">
        <v>66</v>
      </c>
      <c r="G9" s="12" t="s">
        <v>67</v>
      </c>
      <c r="H9" s="14">
        <v>8988</v>
      </c>
    </row>
    <row r="10" spans="1:8" ht="14.25" customHeight="1" x14ac:dyDescent="0.2">
      <c r="A10" s="11">
        <v>4</v>
      </c>
      <c r="B10" s="12" t="s">
        <v>45</v>
      </c>
      <c r="C10" s="11">
        <v>2023</v>
      </c>
      <c r="D10" s="13" t="s">
        <v>35</v>
      </c>
      <c r="E10" s="13" t="s">
        <v>65</v>
      </c>
      <c r="F10" s="13" t="s">
        <v>66</v>
      </c>
      <c r="G10" s="12" t="s">
        <v>67</v>
      </c>
      <c r="H10" s="14">
        <v>15283</v>
      </c>
    </row>
    <row r="11" spans="1:8" ht="14.25" customHeight="1" x14ac:dyDescent="0.2">
      <c r="A11" s="11">
        <v>5</v>
      </c>
      <c r="B11" s="12" t="s">
        <v>32</v>
      </c>
      <c r="C11" s="11">
        <v>2024</v>
      </c>
      <c r="D11" s="13" t="s">
        <v>35</v>
      </c>
      <c r="E11" s="13" t="s">
        <v>65</v>
      </c>
      <c r="F11" s="13" t="s">
        <v>66</v>
      </c>
      <c r="G11" s="12" t="s">
        <v>67</v>
      </c>
      <c r="H11" s="14">
        <v>15258</v>
      </c>
    </row>
    <row r="12" spans="1:8" ht="14.25" customHeight="1" x14ac:dyDescent="0.2">
      <c r="A12" s="11">
        <v>6</v>
      </c>
      <c r="B12" s="12" t="s">
        <v>39</v>
      </c>
      <c r="C12" s="11">
        <v>2022</v>
      </c>
      <c r="D12" s="13" t="s">
        <v>38</v>
      </c>
      <c r="E12" s="13" t="s">
        <v>68</v>
      </c>
      <c r="F12" s="13" t="s">
        <v>69</v>
      </c>
      <c r="G12" s="12" t="s">
        <v>67</v>
      </c>
      <c r="H12" s="14">
        <v>9439</v>
      </c>
    </row>
    <row r="13" spans="1:8" ht="14.25" customHeight="1" x14ac:dyDescent="0.2">
      <c r="A13" s="11">
        <v>7</v>
      </c>
      <c r="B13" s="12" t="s">
        <v>44</v>
      </c>
      <c r="C13" s="11">
        <v>2024</v>
      </c>
      <c r="D13" s="13" t="s">
        <v>55</v>
      </c>
      <c r="E13" s="13" t="s">
        <v>65</v>
      </c>
      <c r="F13" s="13" t="s">
        <v>66</v>
      </c>
      <c r="G13" s="12" t="s">
        <v>67</v>
      </c>
      <c r="H13" s="14">
        <v>8040</v>
      </c>
    </row>
    <row r="14" spans="1:8" ht="14.25" customHeight="1" x14ac:dyDescent="0.2">
      <c r="A14" s="11">
        <v>8</v>
      </c>
      <c r="B14" s="12" t="s">
        <v>44</v>
      </c>
      <c r="C14" s="11">
        <v>2022</v>
      </c>
      <c r="D14" s="13" t="s">
        <v>35</v>
      </c>
      <c r="E14" s="13" t="s">
        <v>65</v>
      </c>
      <c r="F14" s="13" t="s">
        <v>66</v>
      </c>
      <c r="G14" s="12" t="s">
        <v>67</v>
      </c>
      <c r="H14" s="14">
        <v>13073</v>
      </c>
    </row>
    <row r="15" spans="1:8" ht="14.25" customHeight="1" x14ac:dyDescent="0.2">
      <c r="A15" s="11">
        <v>9</v>
      </c>
      <c r="B15" s="12" t="s">
        <v>44</v>
      </c>
      <c r="C15" s="11">
        <v>2022</v>
      </c>
      <c r="D15" s="13" t="s">
        <v>40</v>
      </c>
      <c r="E15" s="13" t="s">
        <v>65</v>
      </c>
      <c r="F15" s="13" t="s">
        <v>66</v>
      </c>
      <c r="G15" s="12" t="s">
        <v>67</v>
      </c>
      <c r="H15" s="14">
        <v>1573</v>
      </c>
    </row>
    <row r="16" spans="1:8" ht="14.25" customHeight="1" x14ac:dyDescent="0.2">
      <c r="A16" s="11">
        <v>10</v>
      </c>
      <c r="B16" s="12" t="s">
        <v>32</v>
      </c>
      <c r="C16" s="11">
        <v>2022</v>
      </c>
      <c r="D16" s="13" t="s">
        <v>27</v>
      </c>
      <c r="E16" s="13" t="s">
        <v>68</v>
      </c>
      <c r="F16" s="13" t="s">
        <v>69</v>
      </c>
      <c r="G16" s="12" t="s">
        <v>67</v>
      </c>
      <c r="H16" s="14">
        <v>10225</v>
      </c>
    </row>
    <row r="17" spans="1:8" ht="14.25" customHeight="1" x14ac:dyDescent="0.2">
      <c r="A17" s="11">
        <v>11</v>
      </c>
      <c r="B17" s="12" t="s">
        <v>34</v>
      </c>
      <c r="C17" s="11">
        <v>2023</v>
      </c>
      <c r="D17" s="13" t="s">
        <v>55</v>
      </c>
      <c r="E17" s="13" t="s">
        <v>65</v>
      </c>
      <c r="F17" s="13" t="s">
        <v>66</v>
      </c>
      <c r="G17" s="12" t="s">
        <v>67</v>
      </c>
      <c r="H17" s="14">
        <v>12412</v>
      </c>
    </row>
    <row r="18" spans="1:8" ht="14.25" customHeight="1" x14ac:dyDescent="0.2">
      <c r="A18" s="11">
        <v>12</v>
      </c>
      <c r="B18" s="12" t="s">
        <v>32</v>
      </c>
      <c r="C18" s="11">
        <v>2022</v>
      </c>
      <c r="D18" s="13" t="s">
        <v>36</v>
      </c>
      <c r="E18" s="13" t="s">
        <v>65</v>
      </c>
      <c r="F18" s="13" t="s">
        <v>66</v>
      </c>
      <c r="G18" s="12" t="s">
        <v>67</v>
      </c>
      <c r="H18" s="14">
        <v>7051</v>
      </c>
    </row>
    <row r="19" spans="1:8" ht="14.25" customHeight="1" x14ac:dyDescent="0.2">
      <c r="A19" s="11">
        <v>13</v>
      </c>
      <c r="B19" s="12" t="s">
        <v>29</v>
      </c>
      <c r="C19" s="11">
        <v>2024</v>
      </c>
      <c r="D19" s="13" t="s">
        <v>27</v>
      </c>
      <c r="E19" s="13" t="s">
        <v>68</v>
      </c>
      <c r="F19" s="13" t="s">
        <v>69</v>
      </c>
      <c r="G19" s="12" t="s">
        <v>67</v>
      </c>
      <c r="H19" s="14">
        <v>5928</v>
      </c>
    </row>
    <row r="20" spans="1:8" ht="14.25" customHeight="1" x14ac:dyDescent="0.2">
      <c r="A20" s="11">
        <v>14</v>
      </c>
      <c r="B20" s="12" t="s">
        <v>29</v>
      </c>
      <c r="C20" s="11">
        <v>2023</v>
      </c>
      <c r="D20" s="13" t="s">
        <v>35</v>
      </c>
      <c r="E20" s="13" t="s">
        <v>65</v>
      </c>
      <c r="F20" s="13" t="s">
        <v>66</v>
      </c>
      <c r="G20" s="12" t="s">
        <v>67</v>
      </c>
      <c r="H20" s="14">
        <v>6962</v>
      </c>
    </row>
    <row r="21" spans="1:8" ht="14.25" customHeight="1" x14ac:dyDescent="0.2">
      <c r="A21" s="11">
        <v>15</v>
      </c>
      <c r="B21" s="12" t="s">
        <v>32</v>
      </c>
      <c r="C21" s="11">
        <v>2022</v>
      </c>
      <c r="D21" s="13" t="s">
        <v>33</v>
      </c>
      <c r="E21" s="13" t="s">
        <v>65</v>
      </c>
      <c r="F21" s="13" t="s">
        <v>66</v>
      </c>
      <c r="G21" s="12" t="s">
        <v>67</v>
      </c>
      <c r="H21" s="14">
        <v>13589</v>
      </c>
    </row>
    <row r="22" spans="1:8" ht="14.25" customHeight="1" x14ac:dyDescent="0.2">
      <c r="A22" s="11">
        <v>16</v>
      </c>
      <c r="B22" s="12" t="s">
        <v>45</v>
      </c>
      <c r="C22" s="11">
        <v>2022</v>
      </c>
      <c r="D22" s="13" t="s">
        <v>36</v>
      </c>
      <c r="E22" s="13" t="s">
        <v>68</v>
      </c>
      <c r="F22" s="13" t="s">
        <v>69</v>
      </c>
      <c r="G22" s="12" t="s">
        <v>67</v>
      </c>
      <c r="H22" s="14">
        <v>13146</v>
      </c>
    </row>
    <row r="23" spans="1:8" ht="14.25" customHeight="1" x14ac:dyDescent="0.2">
      <c r="A23" s="11">
        <v>17</v>
      </c>
      <c r="B23" s="12" t="s">
        <v>37</v>
      </c>
      <c r="C23" s="11">
        <v>2024</v>
      </c>
      <c r="D23" s="13" t="s">
        <v>24</v>
      </c>
      <c r="E23" s="13" t="s">
        <v>65</v>
      </c>
      <c r="F23" s="13" t="s">
        <v>66</v>
      </c>
      <c r="G23" s="12" t="s">
        <v>67</v>
      </c>
      <c r="H23" s="14">
        <v>3455</v>
      </c>
    </row>
    <row r="24" spans="1:8" ht="14.25" customHeight="1" x14ac:dyDescent="0.2">
      <c r="A24" s="11">
        <v>18</v>
      </c>
      <c r="B24" s="12" t="s">
        <v>44</v>
      </c>
      <c r="C24" s="11">
        <v>2023</v>
      </c>
      <c r="D24" s="13" t="s">
        <v>40</v>
      </c>
      <c r="E24" s="13" t="s">
        <v>68</v>
      </c>
      <c r="F24" s="13" t="s">
        <v>69</v>
      </c>
      <c r="G24" s="12" t="s">
        <v>67</v>
      </c>
      <c r="H24" s="14">
        <v>13383</v>
      </c>
    </row>
    <row r="25" spans="1:8" ht="14.25" customHeight="1" x14ac:dyDescent="0.2">
      <c r="A25" s="11">
        <v>19</v>
      </c>
      <c r="B25" s="12" t="s">
        <v>37</v>
      </c>
      <c r="C25" s="11">
        <v>2022</v>
      </c>
      <c r="D25" s="13" t="s">
        <v>42</v>
      </c>
      <c r="E25" s="13" t="s">
        <v>65</v>
      </c>
      <c r="F25" s="13" t="s">
        <v>66</v>
      </c>
      <c r="G25" s="12" t="s">
        <v>67</v>
      </c>
      <c r="H25" s="14">
        <v>14791</v>
      </c>
    </row>
    <row r="26" spans="1:8" ht="14.25" customHeight="1" x14ac:dyDescent="0.2">
      <c r="A26" s="11">
        <v>20</v>
      </c>
      <c r="B26" s="12" t="s">
        <v>56</v>
      </c>
      <c r="C26" s="11">
        <v>2023</v>
      </c>
      <c r="D26" s="13" t="s">
        <v>24</v>
      </c>
      <c r="E26" s="13" t="s">
        <v>65</v>
      </c>
      <c r="F26" s="13" t="s">
        <v>66</v>
      </c>
      <c r="G26" s="12" t="s">
        <v>67</v>
      </c>
      <c r="H26" s="14">
        <v>14290</v>
      </c>
    </row>
    <row r="27" spans="1:8" ht="14.25" customHeight="1" x14ac:dyDescent="0.2">
      <c r="A27" s="11">
        <v>21</v>
      </c>
      <c r="B27" s="12" t="s">
        <v>44</v>
      </c>
      <c r="C27" s="11">
        <v>2024</v>
      </c>
      <c r="D27" s="13" t="s">
        <v>36</v>
      </c>
      <c r="E27" s="13" t="s">
        <v>68</v>
      </c>
      <c r="F27" s="13" t="s">
        <v>69</v>
      </c>
      <c r="G27" s="12" t="s">
        <v>67</v>
      </c>
      <c r="H27" s="14">
        <v>10004</v>
      </c>
    </row>
    <row r="28" spans="1:8" ht="14.25" customHeight="1" x14ac:dyDescent="0.2">
      <c r="A28" s="11">
        <v>22</v>
      </c>
      <c r="B28" s="12" t="s">
        <v>37</v>
      </c>
      <c r="C28" s="11">
        <v>2024</v>
      </c>
      <c r="D28" s="13" t="s">
        <v>36</v>
      </c>
      <c r="E28" s="13" t="s">
        <v>68</v>
      </c>
      <c r="F28" s="13" t="s">
        <v>69</v>
      </c>
      <c r="G28" s="12" t="s">
        <v>67</v>
      </c>
      <c r="H28" s="14">
        <v>5473</v>
      </c>
    </row>
    <row r="29" spans="1:8" ht="14.25" customHeight="1" x14ac:dyDescent="0.2">
      <c r="A29" s="11">
        <v>23</v>
      </c>
      <c r="B29" s="12" t="s">
        <v>56</v>
      </c>
      <c r="C29" s="11">
        <v>2024</v>
      </c>
      <c r="D29" s="13" t="s">
        <v>38</v>
      </c>
      <c r="E29" s="13" t="s">
        <v>68</v>
      </c>
      <c r="F29" s="13" t="s">
        <v>69</v>
      </c>
      <c r="G29" s="12" t="s">
        <v>67</v>
      </c>
      <c r="H29" s="14">
        <v>13305</v>
      </c>
    </row>
    <row r="30" spans="1:8" ht="14.25" customHeight="1" x14ac:dyDescent="0.2">
      <c r="A30" s="11">
        <v>24</v>
      </c>
      <c r="B30" s="12" t="s">
        <v>23</v>
      </c>
      <c r="C30" s="11">
        <v>2022</v>
      </c>
      <c r="D30" s="13" t="s">
        <v>43</v>
      </c>
      <c r="E30" s="13" t="s">
        <v>68</v>
      </c>
      <c r="F30" s="13" t="s">
        <v>69</v>
      </c>
      <c r="G30" s="12" t="s">
        <v>67</v>
      </c>
      <c r="H30" s="14">
        <v>13431</v>
      </c>
    </row>
    <row r="31" spans="1:8" ht="14.25" customHeight="1" x14ac:dyDescent="0.2">
      <c r="A31" s="11">
        <v>25</v>
      </c>
      <c r="B31" s="12" t="s">
        <v>45</v>
      </c>
      <c r="C31" s="11">
        <v>2023</v>
      </c>
      <c r="D31" s="13" t="s">
        <v>27</v>
      </c>
      <c r="E31" s="13" t="s">
        <v>68</v>
      </c>
      <c r="F31" s="13" t="s">
        <v>69</v>
      </c>
      <c r="G31" s="12" t="s">
        <v>67</v>
      </c>
      <c r="H31" s="14">
        <v>7640</v>
      </c>
    </row>
    <row r="32" spans="1:8" ht="14.25" customHeight="1" x14ac:dyDescent="0.2">
      <c r="A32" s="11">
        <v>26</v>
      </c>
      <c r="B32" s="12" t="s">
        <v>44</v>
      </c>
      <c r="C32" s="11">
        <v>2023</v>
      </c>
      <c r="D32" s="13" t="s">
        <v>42</v>
      </c>
      <c r="E32" s="13" t="s">
        <v>65</v>
      </c>
      <c r="F32" s="13" t="s">
        <v>66</v>
      </c>
      <c r="G32" s="12" t="s">
        <v>67</v>
      </c>
      <c r="H32" s="14">
        <v>13090</v>
      </c>
    </row>
    <row r="33" spans="1:8" ht="14.25" customHeight="1" x14ac:dyDescent="0.2">
      <c r="A33" s="11">
        <v>27</v>
      </c>
      <c r="B33" s="12" t="s">
        <v>32</v>
      </c>
      <c r="C33" s="11">
        <v>2024</v>
      </c>
      <c r="D33" s="13" t="s">
        <v>24</v>
      </c>
      <c r="E33" s="13" t="s">
        <v>68</v>
      </c>
      <c r="F33" s="13" t="s">
        <v>69</v>
      </c>
      <c r="G33" s="12" t="s">
        <v>67</v>
      </c>
      <c r="H33" s="14">
        <v>11512</v>
      </c>
    </row>
    <row r="34" spans="1:8" ht="14.25" customHeight="1" x14ac:dyDescent="0.2">
      <c r="A34" s="11">
        <v>28</v>
      </c>
      <c r="B34" s="12" t="s">
        <v>37</v>
      </c>
      <c r="C34" s="11">
        <v>2022</v>
      </c>
      <c r="D34" s="13" t="s">
        <v>42</v>
      </c>
      <c r="E34" s="13" t="s">
        <v>65</v>
      </c>
      <c r="F34" s="13" t="s">
        <v>66</v>
      </c>
      <c r="G34" s="12" t="s">
        <v>67</v>
      </c>
      <c r="H34" s="14">
        <v>4119</v>
      </c>
    </row>
    <row r="35" spans="1:8" ht="14.25" customHeight="1" x14ac:dyDescent="0.2">
      <c r="A35" s="11">
        <v>29</v>
      </c>
      <c r="B35" s="12" t="s">
        <v>19</v>
      </c>
      <c r="C35" s="11">
        <v>2024</v>
      </c>
      <c r="D35" s="13" t="s">
        <v>30</v>
      </c>
      <c r="E35" s="13" t="s">
        <v>68</v>
      </c>
      <c r="F35" s="13" t="s">
        <v>69</v>
      </c>
      <c r="G35" s="12" t="s">
        <v>67</v>
      </c>
      <c r="H35" s="14">
        <v>7393</v>
      </c>
    </row>
    <row r="36" spans="1:8" ht="14.25" customHeight="1" x14ac:dyDescent="0.2">
      <c r="A36" s="11">
        <v>30</v>
      </c>
      <c r="B36" s="12" t="s">
        <v>37</v>
      </c>
      <c r="C36" s="11">
        <v>2022</v>
      </c>
      <c r="D36" s="13" t="s">
        <v>20</v>
      </c>
      <c r="E36" s="13" t="s">
        <v>65</v>
      </c>
      <c r="F36" s="13" t="s">
        <v>66</v>
      </c>
      <c r="G36" s="12" t="s">
        <v>67</v>
      </c>
      <c r="H36" s="14">
        <v>7210</v>
      </c>
    </row>
    <row r="37" spans="1:8" ht="14.25" customHeight="1" x14ac:dyDescent="0.2">
      <c r="A37" s="11">
        <v>31</v>
      </c>
      <c r="B37" s="12" t="s">
        <v>23</v>
      </c>
      <c r="C37" s="11">
        <v>2022</v>
      </c>
      <c r="D37" s="13" t="s">
        <v>35</v>
      </c>
      <c r="E37" s="13" t="s">
        <v>65</v>
      </c>
      <c r="F37" s="13" t="s">
        <v>66</v>
      </c>
      <c r="G37" s="12" t="s">
        <v>67</v>
      </c>
      <c r="H37" s="14">
        <v>8525</v>
      </c>
    </row>
    <row r="38" spans="1:8" ht="14.25" customHeight="1" x14ac:dyDescent="0.2">
      <c r="A38" s="15"/>
      <c r="B38" s="15"/>
      <c r="C38" s="15"/>
      <c r="D38" s="15"/>
      <c r="E38" s="15"/>
      <c r="F38" s="15"/>
      <c r="G38" s="15"/>
      <c r="H38" s="15"/>
    </row>
  </sheetData>
  <dataValidations count="8">
    <dataValidation type="whole" operator="greaterThan" allowBlank="1" showInputMessage="1" showErrorMessage="1" sqref="A7:A37" xr:uid="{00000000-0002-0000-0200-000000000000}">
      <formula1>0</formula1>
      <formula2>0</formula2>
    </dataValidation>
    <dataValidation type="whole" allowBlank="1" showInputMessage="1" showErrorMessage="1" error="Enter a valid year out of 2022 or 2023" sqref="C7:C1037" xr:uid="{00000000-0002-0000-0200-000001000000}">
      <formula1>2022</formula1>
      <formula2>2023</formula2>
    </dataValidation>
    <dataValidation type="custom" allowBlank="1" showInputMessage="1" showErrorMessage="1" errorTitle="Error" error="Entered value should be a number." sqref="H7:H37" xr:uid="{00000000-0002-0000-0200-000002000000}">
      <formula1>ISNUMBER(H7)</formula1>
      <formula2>0</formula2>
    </dataValidation>
    <dataValidation type="list" operator="greaterThan" allowBlank="1" showInputMessage="1" showErrorMessage="1" error="Enter a valid date." sqref="D7:D37" xr:uid="{00000000-0002-0000-02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F7:F37" xr:uid="{00000000-0002-0000-0200-000004000000}">
      <formula1>"Purchased,Self-Produced"</formula1>
      <formula2>0</formula2>
    </dataValidation>
    <dataValidation type="list" allowBlank="1" showInputMessage="1" showErrorMessage="1" sqref="G7:G37" xr:uid="{00000000-0002-0000-0200-000005000000}">
      <formula1>"kWH"</formula1>
      <formula2>0</formula2>
    </dataValidation>
    <dataValidation type="list" allowBlank="1" showInputMessage="1" showErrorMessage="1" sqref="E7:E1037" xr:uid="{00000000-0002-0000-0200-000006000000}">
      <formula1>"Coal/Thermal,Solar"</formula1>
      <formula2>0</formula2>
    </dataValidation>
    <dataValidation type="list" allowBlank="1" showInputMessage="1" showErrorMessage="1" sqref="B7:B1037" xr:uid="{00000000-0002-0000-02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zoomScale="80" zoomScaleNormal="80" workbookViewId="0">
      <pane ySplit="7" topLeftCell="A8" activePane="bottomLeft" state="frozen"/>
      <selection pane="bottomLeft" activeCell="A8" sqref="A8"/>
    </sheetView>
  </sheetViews>
  <sheetFormatPr defaultColWidth="8.7421875" defaultRowHeight="15" x14ac:dyDescent="0.2"/>
  <cols>
    <col min="1" max="1" width="25.9609375" customWidth="1"/>
    <col min="2" max="6" width="34.03125" customWidth="1"/>
    <col min="7" max="7" width="27.98046875" customWidth="1"/>
    <col min="8" max="8" width="20.984375" customWidth="1"/>
  </cols>
  <sheetData>
    <row r="1" spans="1:8" ht="14.25" customHeight="1" x14ac:dyDescent="0.2">
      <c r="A1" s="1"/>
      <c r="B1" s="1" t="s">
        <v>0</v>
      </c>
      <c r="C1" s="1"/>
      <c r="D1" s="16"/>
      <c r="E1" s="2"/>
      <c r="F1" s="2"/>
      <c r="G1" s="2"/>
      <c r="H1" s="2"/>
    </row>
    <row r="2" spans="1:8" ht="14.25" customHeight="1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ht="14.25" customHeight="1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ht="14.25" customHeight="1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ht="14.25" customHeight="1" x14ac:dyDescent="0.2">
      <c r="A5" s="6"/>
      <c r="B5" s="6" t="s">
        <v>46</v>
      </c>
      <c r="C5" s="6"/>
      <c r="D5" s="2"/>
      <c r="E5" s="2"/>
      <c r="F5" s="2"/>
      <c r="G5" s="2"/>
      <c r="H5" s="2"/>
    </row>
    <row r="6" spans="1:8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70</v>
      </c>
      <c r="F6" s="8" t="s">
        <v>71</v>
      </c>
      <c r="G6" s="8" t="s">
        <v>72</v>
      </c>
      <c r="H6" s="8" t="s">
        <v>73</v>
      </c>
    </row>
    <row r="7" spans="1:8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62</v>
      </c>
      <c r="F7" s="10" t="s">
        <v>74</v>
      </c>
      <c r="G7" s="10" t="s">
        <v>17</v>
      </c>
      <c r="H7" s="10" t="s">
        <v>75</v>
      </c>
    </row>
    <row r="8" spans="1:8" ht="14.25" customHeight="1" x14ac:dyDescent="0.2">
      <c r="A8" s="11">
        <v>1</v>
      </c>
      <c r="B8" s="12" t="s">
        <v>37</v>
      </c>
      <c r="C8" s="11">
        <v>2024</v>
      </c>
      <c r="D8" s="13" t="s">
        <v>27</v>
      </c>
      <c r="E8" s="12" t="s">
        <v>76</v>
      </c>
      <c r="F8" s="12" t="s">
        <v>77</v>
      </c>
      <c r="G8" s="12" t="s">
        <v>78</v>
      </c>
      <c r="H8" s="14">
        <v>1344</v>
      </c>
    </row>
    <row r="9" spans="1:8" ht="14.25" customHeight="1" x14ac:dyDescent="0.2">
      <c r="A9" s="11">
        <v>2</v>
      </c>
      <c r="B9" s="12" t="s">
        <v>56</v>
      </c>
      <c r="C9" s="11">
        <v>2022</v>
      </c>
      <c r="D9" s="13" t="s">
        <v>35</v>
      </c>
      <c r="E9" s="12" t="s">
        <v>76</v>
      </c>
      <c r="F9" s="12" t="s">
        <v>77</v>
      </c>
      <c r="G9" s="12" t="s">
        <v>78</v>
      </c>
      <c r="H9" s="14">
        <v>1523</v>
      </c>
    </row>
    <row r="10" spans="1:8" ht="14.25" customHeight="1" x14ac:dyDescent="0.2">
      <c r="A10" s="11">
        <v>3</v>
      </c>
      <c r="B10" s="12" t="s">
        <v>19</v>
      </c>
      <c r="C10" s="11">
        <v>2024</v>
      </c>
      <c r="D10" s="13" t="s">
        <v>43</v>
      </c>
      <c r="E10" s="12" t="s">
        <v>76</v>
      </c>
      <c r="F10" s="12" t="s">
        <v>79</v>
      </c>
      <c r="G10" s="12" t="s">
        <v>78</v>
      </c>
      <c r="H10" s="14">
        <v>1248</v>
      </c>
    </row>
    <row r="11" spans="1:8" ht="14.25" customHeight="1" x14ac:dyDescent="0.2">
      <c r="A11" s="11">
        <v>4</v>
      </c>
      <c r="B11" s="12" t="s">
        <v>45</v>
      </c>
      <c r="C11" s="11">
        <v>2022</v>
      </c>
      <c r="D11" s="13" t="s">
        <v>55</v>
      </c>
      <c r="E11" s="12" t="s">
        <v>80</v>
      </c>
      <c r="F11" s="12" t="s">
        <v>81</v>
      </c>
      <c r="G11" s="12" t="s">
        <v>78</v>
      </c>
      <c r="H11" s="14">
        <v>453</v>
      </c>
    </row>
    <row r="12" spans="1:8" ht="14.25" customHeight="1" x14ac:dyDescent="0.2">
      <c r="A12" s="11">
        <v>5</v>
      </c>
      <c r="B12" s="12" t="s">
        <v>44</v>
      </c>
      <c r="C12" s="11">
        <v>2023</v>
      </c>
      <c r="D12" s="13" t="s">
        <v>27</v>
      </c>
      <c r="E12" s="12" t="s">
        <v>76</v>
      </c>
      <c r="F12" s="12" t="s">
        <v>77</v>
      </c>
      <c r="G12" s="12" t="s">
        <v>78</v>
      </c>
      <c r="H12" s="14">
        <v>1122</v>
      </c>
    </row>
    <row r="13" spans="1:8" ht="14.25" customHeight="1" x14ac:dyDescent="0.2">
      <c r="A13" s="11">
        <v>6</v>
      </c>
      <c r="B13" s="12" t="s">
        <v>34</v>
      </c>
      <c r="C13" s="11">
        <v>2022</v>
      </c>
      <c r="D13" s="13" t="s">
        <v>40</v>
      </c>
      <c r="E13" s="12" t="s">
        <v>76</v>
      </c>
      <c r="F13" s="12" t="s">
        <v>79</v>
      </c>
      <c r="G13" s="12" t="s">
        <v>78</v>
      </c>
      <c r="H13" s="14">
        <v>1405</v>
      </c>
    </row>
    <row r="14" spans="1:8" ht="14.25" customHeight="1" x14ac:dyDescent="0.2">
      <c r="A14" s="11">
        <v>7</v>
      </c>
      <c r="B14" s="12" t="s">
        <v>45</v>
      </c>
      <c r="C14" s="11">
        <v>2022</v>
      </c>
      <c r="D14" s="13" t="s">
        <v>42</v>
      </c>
      <c r="E14" s="12" t="s">
        <v>76</v>
      </c>
      <c r="F14" s="12" t="s">
        <v>77</v>
      </c>
      <c r="G14" s="12" t="s">
        <v>78</v>
      </c>
      <c r="H14" s="14">
        <v>2322</v>
      </c>
    </row>
    <row r="15" spans="1:8" ht="14.25" customHeight="1" x14ac:dyDescent="0.2">
      <c r="A15" s="11">
        <v>8</v>
      </c>
      <c r="B15" s="12" t="s">
        <v>45</v>
      </c>
      <c r="C15" s="11">
        <v>2022</v>
      </c>
      <c r="D15" s="13" t="s">
        <v>43</v>
      </c>
      <c r="E15" s="12" t="s">
        <v>80</v>
      </c>
      <c r="F15" s="12" t="s">
        <v>82</v>
      </c>
      <c r="G15" s="12" t="s">
        <v>78</v>
      </c>
      <c r="H15" s="14">
        <v>267</v>
      </c>
    </row>
    <row r="16" spans="1:8" ht="14.25" customHeight="1" x14ac:dyDescent="0.2">
      <c r="A16" s="11">
        <v>9</v>
      </c>
      <c r="B16" s="12" t="s">
        <v>37</v>
      </c>
      <c r="C16" s="11">
        <v>2024</v>
      </c>
      <c r="D16" s="13" t="s">
        <v>27</v>
      </c>
      <c r="E16" s="12" t="s">
        <v>76</v>
      </c>
      <c r="F16" s="12" t="s">
        <v>77</v>
      </c>
      <c r="G16" s="12" t="s">
        <v>78</v>
      </c>
      <c r="H16" s="14">
        <v>862</v>
      </c>
    </row>
    <row r="17" spans="1:8" ht="14.25" customHeight="1" x14ac:dyDescent="0.2">
      <c r="A17" s="11">
        <v>10</v>
      </c>
      <c r="B17" s="12" t="s">
        <v>39</v>
      </c>
      <c r="C17" s="11">
        <v>2023</v>
      </c>
      <c r="D17" s="13" t="s">
        <v>24</v>
      </c>
      <c r="E17" s="12" t="s">
        <v>80</v>
      </c>
      <c r="F17" s="12" t="s">
        <v>82</v>
      </c>
      <c r="G17" s="12" t="s">
        <v>78</v>
      </c>
      <c r="H17" s="14">
        <v>1741</v>
      </c>
    </row>
    <row r="18" spans="1:8" ht="14.25" customHeight="1" x14ac:dyDescent="0.2">
      <c r="A18" s="11">
        <v>11</v>
      </c>
      <c r="B18" s="12" t="s">
        <v>19</v>
      </c>
      <c r="C18" s="11">
        <v>2022</v>
      </c>
      <c r="D18" s="13" t="s">
        <v>20</v>
      </c>
      <c r="E18" s="12" t="s">
        <v>80</v>
      </c>
      <c r="F18" s="12" t="s">
        <v>83</v>
      </c>
      <c r="G18" s="12" t="s">
        <v>78</v>
      </c>
      <c r="H18" s="14">
        <v>1857</v>
      </c>
    </row>
    <row r="19" spans="1:8" ht="14.25" customHeight="1" x14ac:dyDescent="0.2">
      <c r="A19" s="11">
        <v>12</v>
      </c>
      <c r="B19" s="12" t="s">
        <v>39</v>
      </c>
      <c r="C19" s="11">
        <v>2024</v>
      </c>
      <c r="D19" s="13" t="s">
        <v>33</v>
      </c>
      <c r="E19" s="12" t="s">
        <v>76</v>
      </c>
      <c r="F19" s="12" t="s">
        <v>79</v>
      </c>
      <c r="G19" s="12" t="s">
        <v>78</v>
      </c>
      <c r="H19" s="14">
        <v>1610</v>
      </c>
    </row>
    <row r="20" spans="1:8" ht="14.25" customHeight="1" x14ac:dyDescent="0.2">
      <c r="A20" s="11">
        <v>13</v>
      </c>
      <c r="B20" s="12" t="s">
        <v>34</v>
      </c>
      <c r="C20" s="11">
        <v>2023</v>
      </c>
      <c r="D20" s="13" t="s">
        <v>40</v>
      </c>
      <c r="E20" s="12" t="s">
        <v>76</v>
      </c>
      <c r="F20" s="12" t="s">
        <v>77</v>
      </c>
      <c r="G20" s="12" t="s">
        <v>78</v>
      </c>
      <c r="H20" s="14">
        <v>1911</v>
      </c>
    </row>
    <row r="21" spans="1:8" ht="14.25" customHeight="1" x14ac:dyDescent="0.2">
      <c r="A21" s="11">
        <v>14</v>
      </c>
      <c r="B21" s="12" t="s">
        <v>19</v>
      </c>
      <c r="C21" s="11">
        <v>2023</v>
      </c>
      <c r="D21" s="13" t="s">
        <v>30</v>
      </c>
      <c r="E21" s="12" t="s">
        <v>80</v>
      </c>
      <c r="F21" s="12" t="s">
        <v>82</v>
      </c>
      <c r="G21" s="12" t="s">
        <v>78</v>
      </c>
      <c r="H21" s="14">
        <v>336</v>
      </c>
    </row>
    <row r="22" spans="1:8" ht="14.25" customHeight="1" x14ac:dyDescent="0.2">
      <c r="A22" s="11">
        <v>15</v>
      </c>
      <c r="B22" s="12" t="s">
        <v>44</v>
      </c>
      <c r="C22" s="11">
        <v>2024</v>
      </c>
      <c r="D22" s="13" t="s">
        <v>36</v>
      </c>
      <c r="E22" s="12" t="s">
        <v>76</v>
      </c>
      <c r="F22" s="12" t="s">
        <v>84</v>
      </c>
      <c r="G22" s="12" t="s">
        <v>78</v>
      </c>
      <c r="H22" s="14">
        <v>1246</v>
      </c>
    </row>
    <row r="23" spans="1:8" ht="14.25" customHeight="1" x14ac:dyDescent="0.2">
      <c r="A23" s="11">
        <v>16</v>
      </c>
      <c r="B23" s="12" t="s">
        <v>19</v>
      </c>
      <c r="C23" s="11">
        <v>2024</v>
      </c>
      <c r="D23" s="13" t="s">
        <v>20</v>
      </c>
      <c r="E23" s="12" t="s">
        <v>76</v>
      </c>
      <c r="F23" s="12" t="s">
        <v>77</v>
      </c>
      <c r="G23" s="12" t="s">
        <v>78</v>
      </c>
      <c r="H23" s="14">
        <v>855</v>
      </c>
    </row>
    <row r="24" spans="1:8" ht="14.25" customHeight="1" x14ac:dyDescent="0.2">
      <c r="A24" s="11">
        <v>17</v>
      </c>
      <c r="B24" s="12" t="s">
        <v>56</v>
      </c>
      <c r="C24" s="11">
        <v>2024</v>
      </c>
      <c r="D24" s="13" t="s">
        <v>40</v>
      </c>
      <c r="E24" s="12" t="s">
        <v>76</v>
      </c>
      <c r="F24" s="12" t="s">
        <v>84</v>
      </c>
      <c r="G24" s="12" t="s">
        <v>78</v>
      </c>
      <c r="H24" s="14">
        <v>418</v>
      </c>
    </row>
    <row r="25" spans="1:8" ht="14.25" customHeight="1" x14ac:dyDescent="0.2">
      <c r="A25" s="11">
        <v>18</v>
      </c>
      <c r="B25" s="12" t="s">
        <v>19</v>
      </c>
      <c r="C25" s="11">
        <v>2023</v>
      </c>
      <c r="D25" s="13" t="s">
        <v>40</v>
      </c>
      <c r="E25" s="12" t="s">
        <v>76</v>
      </c>
      <c r="F25" s="12" t="s">
        <v>79</v>
      </c>
      <c r="G25" s="12" t="s">
        <v>78</v>
      </c>
      <c r="H25" s="14">
        <v>981</v>
      </c>
    </row>
    <row r="26" spans="1:8" ht="14.25" customHeight="1" x14ac:dyDescent="0.2">
      <c r="A26" s="11">
        <v>19</v>
      </c>
      <c r="B26" s="12" t="s">
        <v>23</v>
      </c>
      <c r="C26" s="11">
        <v>2023</v>
      </c>
      <c r="D26" s="13" t="s">
        <v>43</v>
      </c>
      <c r="E26" s="12" t="s">
        <v>80</v>
      </c>
      <c r="F26" s="12" t="s">
        <v>83</v>
      </c>
      <c r="G26" s="12" t="s">
        <v>78</v>
      </c>
      <c r="H26" s="14">
        <v>1098</v>
      </c>
    </row>
    <row r="27" spans="1:8" ht="14.25" customHeight="1" x14ac:dyDescent="0.2">
      <c r="A27" s="11">
        <v>20</v>
      </c>
      <c r="B27" s="12" t="s">
        <v>44</v>
      </c>
      <c r="C27" s="11">
        <v>2022</v>
      </c>
      <c r="D27" s="13" t="s">
        <v>36</v>
      </c>
      <c r="E27" s="12" t="s">
        <v>76</v>
      </c>
      <c r="F27" s="12" t="s">
        <v>79</v>
      </c>
      <c r="G27" s="12" t="s">
        <v>78</v>
      </c>
      <c r="H27" s="14">
        <v>1522</v>
      </c>
    </row>
    <row r="28" spans="1:8" ht="14.25" customHeight="1" x14ac:dyDescent="0.2">
      <c r="A28" s="11">
        <v>21</v>
      </c>
      <c r="B28" s="12" t="s">
        <v>56</v>
      </c>
      <c r="C28" s="11">
        <v>2022</v>
      </c>
      <c r="D28" s="13" t="s">
        <v>36</v>
      </c>
      <c r="E28" s="12" t="s">
        <v>80</v>
      </c>
      <c r="F28" s="12" t="s">
        <v>82</v>
      </c>
      <c r="G28" s="12" t="s">
        <v>78</v>
      </c>
      <c r="H28" s="14">
        <v>1391</v>
      </c>
    </row>
    <row r="29" spans="1:8" ht="14.25" customHeight="1" x14ac:dyDescent="0.2">
      <c r="A29" s="11">
        <v>22</v>
      </c>
      <c r="B29" s="12" t="s">
        <v>29</v>
      </c>
      <c r="C29" s="11">
        <v>2024</v>
      </c>
      <c r="D29" s="13" t="s">
        <v>55</v>
      </c>
      <c r="E29" s="12" t="s">
        <v>80</v>
      </c>
      <c r="F29" s="12" t="s">
        <v>83</v>
      </c>
      <c r="G29" s="12" t="s">
        <v>78</v>
      </c>
      <c r="H29" s="14">
        <v>1136</v>
      </c>
    </row>
    <row r="30" spans="1:8" ht="14.25" customHeight="1" x14ac:dyDescent="0.2">
      <c r="A30" s="11">
        <v>23</v>
      </c>
      <c r="B30" s="12" t="s">
        <v>34</v>
      </c>
      <c r="C30" s="11">
        <v>2023</v>
      </c>
      <c r="D30" s="13" t="s">
        <v>24</v>
      </c>
      <c r="E30" s="12" t="s">
        <v>80</v>
      </c>
      <c r="F30" s="12" t="s">
        <v>83</v>
      </c>
      <c r="G30" s="12" t="s">
        <v>78</v>
      </c>
      <c r="H30" s="14">
        <v>1768</v>
      </c>
    </row>
    <row r="31" spans="1:8" ht="14.25" customHeight="1" x14ac:dyDescent="0.2">
      <c r="A31" s="11">
        <v>24</v>
      </c>
      <c r="B31" s="12" t="s">
        <v>32</v>
      </c>
      <c r="C31" s="11">
        <v>2024</v>
      </c>
      <c r="D31" s="13" t="s">
        <v>55</v>
      </c>
      <c r="E31" s="12" t="s">
        <v>80</v>
      </c>
      <c r="F31" s="12" t="s">
        <v>83</v>
      </c>
      <c r="G31" s="12" t="s">
        <v>78</v>
      </c>
      <c r="H31" s="14">
        <v>1728</v>
      </c>
    </row>
    <row r="32" spans="1:8" ht="14.25" customHeight="1" x14ac:dyDescent="0.2">
      <c r="A32" s="11">
        <v>25</v>
      </c>
      <c r="B32" s="12" t="s">
        <v>19</v>
      </c>
      <c r="C32" s="11">
        <v>2023</v>
      </c>
      <c r="D32" s="13" t="s">
        <v>36</v>
      </c>
      <c r="E32" s="12" t="s">
        <v>80</v>
      </c>
      <c r="F32" s="12" t="s">
        <v>83</v>
      </c>
      <c r="G32" s="12" t="s">
        <v>78</v>
      </c>
      <c r="H32" s="14">
        <v>577</v>
      </c>
    </row>
    <row r="33" spans="1:8" ht="14.25" customHeight="1" x14ac:dyDescent="0.2">
      <c r="A33" s="11">
        <v>26</v>
      </c>
      <c r="B33" s="12" t="s">
        <v>34</v>
      </c>
      <c r="C33" s="11">
        <v>2024</v>
      </c>
      <c r="D33" s="13" t="s">
        <v>55</v>
      </c>
      <c r="E33" s="12" t="s">
        <v>76</v>
      </c>
      <c r="F33" s="12" t="s">
        <v>84</v>
      </c>
      <c r="G33" s="12" t="s">
        <v>78</v>
      </c>
      <c r="H33" s="14">
        <v>639</v>
      </c>
    </row>
    <row r="34" spans="1:8" ht="14.25" customHeight="1" x14ac:dyDescent="0.2">
      <c r="A34" s="11">
        <v>27</v>
      </c>
      <c r="B34" s="12" t="s">
        <v>29</v>
      </c>
      <c r="C34" s="11">
        <v>2022</v>
      </c>
      <c r="D34" s="13" t="s">
        <v>40</v>
      </c>
      <c r="E34" s="12" t="s">
        <v>76</v>
      </c>
      <c r="F34" s="12" t="s">
        <v>77</v>
      </c>
      <c r="G34" s="12" t="s">
        <v>78</v>
      </c>
      <c r="H34" s="14">
        <v>1574</v>
      </c>
    </row>
    <row r="35" spans="1:8" ht="14.25" customHeight="1" x14ac:dyDescent="0.2">
      <c r="A35" s="11">
        <v>28</v>
      </c>
      <c r="B35" s="12" t="s">
        <v>29</v>
      </c>
      <c r="C35" s="11">
        <v>2023</v>
      </c>
      <c r="D35" s="13" t="s">
        <v>42</v>
      </c>
      <c r="E35" s="12" t="s">
        <v>80</v>
      </c>
      <c r="F35" s="12" t="s">
        <v>83</v>
      </c>
      <c r="G35" s="12" t="s">
        <v>78</v>
      </c>
      <c r="H35" s="14">
        <v>1107</v>
      </c>
    </row>
    <row r="36" spans="1:8" ht="14.25" customHeight="1" x14ac:dyDescent="0.2">
      <c r="A36" s="11">
        <v>29</v>
      </c>
      <c r="B36" s="12" t="s">
        <v>29</v>
      </c>
      <c r="C36" s="11">
        <v>2024</v>
      </c>
      <c r="D36" s="13" t="s">
        <v>35</v>
      </c>
      <c r="E36" s="12" t="s">
        <v>80</v>
      </c>
      <c r="F36" s="12" t="s">
        <v>81</v>
      </c>
      <c r="G36" s="12" t="s">
        <v>78</v>
      </c>
      <c r="H36" s="14">
        <v>1541</v>
      </c>
    </row>
    <row r="37" spans="1:8" ht="14.25" customHeight="1" x14ac:dyDescent="0.2">
      <c r="A37" s="11">
        <v>30</v>
      </c>
      <c r="B37" s="12" t="s">
        <v>32</v>
      </c>
      <c r="C37" s="11">
        <v>2022</v>
      </c>
      <c r="D37" s="13" t="s">
        <v>42</v>
      </c>
      <c r="E37" s="12" t="s">
        <v>80</v>
      </c>
      <c r="F37" s="12" t="s">
        <v>83</v>
      </c>
      <c r="G37" s="12" t="s">
        <v>78</v>
      </c>
      <c r="H37" s="14">
        <v>998</v>
      </c>
    </row>
    <row r="38" spans="1:8" ht="14.25" customHeight="1" x14ac:dyDescent="0.2">
      <c r="A38" s="11">
        <v>31</v>
      </c>
      <c r="B38" s="12" t="s">
        <v>23</v>
      </c>
      <c r="C38" s="11">
        <v>2022</v>
      </c>
      <c r="D38" s="13" t="s">
        <v>30</v>
      </c>
      <c r="E38" s="12" t="s">
        <v>80</v>
      </c>
      <c r="F38" s="12" t="s">
        <v>83</v>
      </c>
      <c r="G38" s="12" t="s">
        <v>78</v>
      </c>
      <c r="H38" s="14">
        <v>2357</v>
      </c>
    </row>
    <row r="39" spans="1:8" ht="14.25" customHeight="1" x14ac:dyDescent="0.2">
      <c r="A39" s="15"/>
      <c r="B39" s="15"/>
      <c r="C39" s="15"/>
      <c r="D39" s="15"/>
      <c r="E39" s="15"/>
      <c r="F39" s="15"/>
      <c r="G39" s="15"/>
      <c r="H39" s="15"/>
    </row>
  </sheetData>
  <dataValidations count="7">
    <dataValidation type="whole" operator="greaterThan" allowBlank="1" showInputMessage="1" showErrorMessage="1" sqref="A8:A38" xr:uid="{00000000-0002-0000-0300-000000000000}">
      <formula1>0</formula1>
      <formula2>0</formula2>
    </dataValidation>
    <dataValidation type="whole" allowBlank="1" showInputMessage="1" showErrorMessage="1" error="Enter a valid year out of 2022 and 2023" sqref="C8:C1038" xr:uid="{00000000-0002-0000-0300-000001000000}">
      <formula1>2022</formula1>
      <formula2>2023</formula2>
    </dataValidation>
    <dataValidation type="custom" allowBlank="1" showInputMessage="1" showErrorMessage="1" error="Entered value should be a positive number." sqref="H8:H38" xr:uid="{00000000-0002-0000-0300-000002000000}">
      <formula1>ISNUMBER(H8)</formula1>
      <formula2>0</formula2>
    </dataValidation>
    <dataValidation type="list" allowBlank="1" showInputMessage="1" showErrorMessage="1" sqref="G8:G38" xr:uid="{00000000-0002-0000-0300-000003000000}">
      <formula1>"cubic metre,million litres"</formula1>
      <formula2>0</formula2>
    </dataValidation>
    <dataValidation type="list" allowBlank="1" showInputMessage="1" showErrorMessage="1" sqref="E8:E38" xr:uid="{00000000-0002-0000-0300-000004000000}">
      <formula1>"Supplied Water,Treated Water"</formula1>
      <formula2>0</formula2>
    </dataValidation>
    <dataValidation type="list" operator="greaterThan" allowBlank="1" showInputMessage="1" showErrorMessage="1" error="Enter a valid date." sqref="D8:D38" xr:uid="{00000000-0002-0000-0300-000005000000}">
      <formula1>"January,February,March,April,May,June,July,August,September,October,November,December"</formula1>
      <formula2>0</formula2>
    </dataValidation>
    <dataValidation type="list" allowBlank="1" showInputMessage="1" showErrorMessage="1" sqref="B8:B1038" xr:uid="{00000000-0002-0000-0300-000006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9"/>
  <sheetViews>
    <sheetView zoomScale="96" zoomScaleNormal="96" workbookViewId="0">
      <pane ySplit="7" topLeftCell="A8" activePane="bottomLeft" state="frozen"/>
      <selection pane="bottomLeft" activeCell="I8" sqref="I8"/>
    </sheetView>
  </sheetViews>
  <sheetFormatPr defaultColWidth="8.7421875" defaultRowHeight="15" x14ac:dyDescent="0.2"/>
  <cols>
    <col min="1" max="1" width="25.9609375" customWidth="1"/>
    <col min="2" max="6" width="34.03125" customWidth="1"/>
    <col min="7" max="7" width="27.98046875" customWidth="1"/>
    <col min="8" max="8" width="20.984375" customWidth="1"/>
  </cols>
  <sheetData>
    <row r="1" spans="1:8" ht="14.25" customHeight="1" x14ac:dyDescent="0.2">
      <c r="A1" s="1"/>
      <c r="B1" s="1" t="s">
        <v>0</v>
      </c>
      <c r="C1" s="1"/>
      <c r="D1" s="16"/>
      <c r="E1" s="2"/>
      <c r="F1" s="2"/>
      <c r="G1" s="2"/>
      <c r="H1" s="2"/>
    </row>
    <row r="2" spans="1:8" ht="14.25" customHeight="1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ht="14.25" customHeight="1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ht="14.25" customHeight="1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ht="14.25" customHeight="1" x14ac:dyDescent="0.2">
      <c r="A5" s="6"/>
      <c r="B5" s="6" t="s">
        <v>46</v>
      </c>
      <c r="C5" s="6"/>
      <c r="D5" s="2"/>
      <c r="E5" s="2"/>
      <c r="F5" s="2"/>
      <c r="G5" s="2"/>
      <c r="H5" s="2"/>
    </row>
    <row r="6" spans="1:8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85</v>
      </c>
      <c r="F6" s="8" t="s">
        <v>86</v>
      </c>
      <c r="G6" s="8" t="s">
        <v>72</v>
      </c>
      <c r="H6" s="8" t="s">
        <v>73</v>
      </c>
    </row>
    <row r="7" spans="1:8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87</v>
      </c>
      <c r="F7" s="10" t="s">
        <v>88</v>
      </c>
      <c r="G7" s="10" t="s">
        <v>17</v>
      </c>
      <c r="H7" s="10" t="s">
        <v>75</v>
      </c>
    </row>
    <row r="8" spans="1:8" ht="14.25" customHeight="1" x14ac:dyDescent="0.2">
      <c r="A8" s="11">
        <v>1</v>
      </c>
      <c r="B8" s="12" t="s">
        <v>37</v>
      </c>
      <c r="C8" s="11">
        <v>2024</v>
      </c>
      <c r="D8" s="13" t="s">
        <v>30</v>
      </c>
      <c r="E8" s="12" t="s">
        <v>89</v>
      </c>
      <c r="F8" s="12" t="s">
        <v>90</v>
      </c>
      <c r="G8" s="12" t="s">
        <v>22</v>
      </c>
      <c r="H8" s="14">
        <v>492</v>
      </c>
    </row>
    <row r="9" spans="1:8" ht="14.25" customHeight="1" x14ac:dyDescent="0.2">
      <c r="A9" s="11">
        <v>2</v>
      </c>
      <c r="B9" s="12" t="s">
        <v>23</v>
      </c>
      <c r="C9" s="11">
        <v>2023</v>
      </c>
      <c r="D9" s="13" t="s">
        <v>55</v>
      </c>
      <c r="E9" s="12" t="s">
        <v>91</v>
      </c>
      <c r="F9" s="12" t="s">
        <v>92</v>
      </c>
      <c r="G9" s="12" t="s">
        <v>22</v>
      </c>
      <c r="H9" s="14">
        <v>799</v>
      </c>
    </row>
    <row r="10" spans="1:8" ht="14.25" customHeight="1" x14ac:dyDescent="0.2">
      <c r="A10" s="11">
        <v>3</v>
      </c>
      <c r="B10" s="12" t="s">
        <v>29</v>
      </c>
      <c r="C10" s="11">
        <v>2022</v>
      </c>
      <c r="D10" s="13" t="s">
        <v>36</v>
      </c>
      <c r="E10" s="12" t="s">
        <v>89</v>
      </c>
      <c r="F10" s="12" t="s">
        <v>90</v>
      </c>
      <c r="G10" s="12" t="s">
        <v>22</v>
      </c>
      <c r="H10" s="14">
        <v>151</v>
      </c>
    </row>
    <row r="11" spans="1:8" ht="14.25" customHeight="1" x14ac:dyDescent="0.2">
      <c r="A11" s="11">
        <v>4</v>
      </c>
      <c r="B11" s="12" t="s">
        <v>45</v>
      </c>
      <c r="C11" s="11">
        <v>2024</v>
      </c>
      <c r="D11" s="13" t="s">
        <v>55</v>
      </c>
      <c r="E11" s="12" t="s">
        <v>93</v>
      </c>
      <c r="F11" s="12" t="s">
        <v>90</v>
      </c>
      <c r="G11" s="12" t="s">
        <v>22</v>
      </c>
      <c r="H11" s="14">
        <v>123</v>
      </c>
    </row>
    <row r="12" spans="1:8" ht="14.25" customHeight="1" x14ac:dyDescent="0.2">
      <c r="A12" s="11">
        <v>5</v>
      </c>
      <c r="B12" s="12" t="s">
        <v>26</v>
      </c>
      <c r="C12" s="11">
        <v>2023</v>
      </c>
      <c r="D12" s="13" t="s">
        <v>35</v>
      </c>
      <c r="E12" s="12" t="s">
        <v>91</v>
      </c>
      <c r="F12" s="12" t="s">
        <v>94</v>
      </c>
      <c r="G12" s="12" t="s">
        <v>22</v>
      </c>
      <c r="H12" s="14">
        <v>205</v>
      </c>
    </row>
    <row r="13" spans="1:8" ht="14.25" customHeight="1" x14ac:dyDescent="0.2">
      <c r="A13" s="11">
        <v>6</v>
      </c>
      <c r="B13" s="12" t="s">
        <v>56</v>
      </c>
      <c r="C13" s="11">
        <v>2022</v>
      </c>
      <c r="D13" s="13" t="s">
        <v>36</v>
      </c>
      <c r="E13" s="12" t="s">
        <v>91</v>
      </c>
      <c r="F13" s="12" t="s">
        <v>95</v>
      </c>
      <c r="G13" s="12" t="s">
        <v>22</v>
      </c>
      <c r="H13" s="14">
        <v>567</v>
      </c>
    </row>
    <row r="14" spans="1:8" ht="14.25" customHeight="1" x14ac:dyDescent="0.2">
      <c r="A14" s="11">
        <v>7</v>
      </c>
      <c r="B14" s="12" t="s">
        <v>34</v>
      </c>
      <c r="C14" s="11">
        <v>2024</v>
      </c>
      <c r="D14" s="13" t="s">
        <v>36</v>
      </c>
      <c r="E14" s="12" t="s">
        <v>93</v>
      </c>
      <c r="F14" s="12" t="s">
        <v>95</v>
      </c>
      <c r="G14" s="12" t="s">
        <v>22</v>
      </c>
      <c r="H14" s="14">
        <v>448</v>
      </c>
    </row>
    <row r="15" spans="1:8" ht="14.25" customHeight="1" x14ac:dyDescent="0.2">
      <c r="A15" s="11">
        <v>8</v>
      </c>
      <c r="B15" s="12" t="s">
        <v>29</v>
      </c>
      <c r="C15" s="11">
        <v>2022</v>
      </c>
      <c r="D15" s="13" t="s">
        <v>43</v>
      </c>
      <c r="E15" s="12" t="s">
        <v>91</v>
      </c>
      <c r="F15" s="12" t="s">
        <v>92</v>
      </c>
      <c r="G15" s="12" t="s">
        <v>22</v>
      </c>
      <c r="H15" s="14">
        <v>120</v>
      </c>
    </row>
    <row r="16" spans="1:8" ht="14.25" customHeight="1" x14ac:dyDescent="0.2">
      <c r="A16" s="11">
        <v>9</v>
      </c>
      <c r="B16" s="12" t="s">
        <v>29</v>
      </c>
      <c r="C16" s="11">
        <v>2024</v>
      </c>
      <c r="D16" s="13" t="s">
        <v>33</v>
      </c>
      <c r="E16" s="12" t="s">
        <v>91</v>
      </c>
      <c r="F16" s="12" t="s">
        <v>95</v>
      </c>
      <c r="G16" s="12" t="s">
        <v>22</v>
      </c>
      <c r="H16" s="14">
        <v>412</v>
      </c>
    </row>
    <row r="17" spans="1:8" ht="14.25" customHeight="1" x14ac:dyDescent="0.2">
      <c r="A17" s="11">
        <v>10</v>
      </c>
      <c r="B17" s="12" t="s">
        <v>32</v>
      </c>
      <c r="C17" s="11">
        <v>2023</v>
      </c>
      <c r="D17" s="13" t="s">
        <v>38</v>
      </c>
      <c r="E17" s="12" t="s">
        <v>96</v>
      </c>
      <c r="F17" s="12" t="s">
        <v>94</v>
      </c>
      <c r="G17" s="12" t="s">
        <v>22</v>
      </c>
      <c r="H17" s="14">
        <v>116</v>
      </c>
    </row>
    <row r="18" spans="1:8" ht="14.25" customHeight="1" x14ac:dyDescent="0.2">
      <c r="A18" s="11">
        <v>11</v>
      </c>
      <c r="B18" s="12" t="s">
        <v>19</v>
      </c>
      <c r="C18" s="11">
        <v>2022</v>
      </c>
      <c r="D18" s="13" t="s">
        <v>36</v>
      </c>
      <c r="E18" s="12" t="s">
        <v>96</v>
      </c>
      <c r="F18" s="12" t="s">
        <v>95</v>
      </c>
      <c r="G18" s="12" t="s">
        <v>22</v>
      </c>
      <c r="H18" s="14">
        <v>737</v>
      </c>
    </row>
    <row r="19" spans="1:8" ht="14.25" customHeight="1" x14ac:dyDescent="0.2">
      <c r="A19" s="11">
        <v>12</v>
      </c>
      <c r="B19" s="12" t="s">
        <v>56</v>
      </c>
      <c r="C19" s="11">
        <v>2024</v>
      </c>
      <c r="D19" s="13" t="s">
        <v>40</v>
      </c>
      <c r="E19" s="12" t="s">
        <v>96</v>
      </c>
      <c r="F19" s="12" t="s">
        <v>92</v>
      </c>
      <c r="G19" s="12" t="s">
        <v>22</v>
      </c>
      <c r="H19" s="14">
        <v>102</v>
      </c>
    </row>
    <row r="20" spans="1:8" ht="14.25" customHeight="1" x14ac:dyDescent="0.2">
      <c r="A20" s="11">
        <v>13</v>
      </c>
      <c r="B20" s="12" t="s">
        <v>37</v>
      </c>
      <c r="C20" s="11">
        <v>2023</v>
      </c>
      <c r="D20" s="13" t="s">
        <v>40</v>
      </c>
      <c r="E20" s="12" t="s">
        <v>93</v>
      </c>
      <c r="F20" s="12" t="s">
        <v>95</v>
      </c>
      <c r="G20" s="12" t="s">
        <v>22</v>
      </c>
      <c r="H20" s="14">
        <v>71</v>
      </c>
    </row>
    <row r="21" spans="1:8" ht="14.25" customHeight="1" x14ac:dyDescent="0.2">
      <c r="A21" s="11">
        <v>14</v>
      </c>
      <c r="B21" s="12" t="s">
        <v>23</v>
      </c>
      <c r="C21" s="11">
        <v>2022</v>
      </c>
      <c r="D21" s="13" t="s">
        <v>20</v>
      </c>
      <c r="E21" s="12" t="s">
        <v>89</v>
      </c>
      <c r="F21" s="12" t="s">
        <v>90</v>
      </c>
      <c r="G21" s="12" t="s">
        <v>22</v>
      </c>
      <c r="H21" s="14">
        <v>415</v>
      </c>
    </row>
    <row r="22" spans="1:8" ht="14.25" customHeight="1" x14ac:dyDescent="0.2">
      <c r="A22" s="11">
        <v>15</v>
      </c>
      <c r="B22" s="12" t="s">
        <v>44</v>
      </c>
      <c r="C22" s="11">
        <v>2023</v>
      </c>
      <c r="D22" s="13" t="s">
        <v>43</v>
      </c>
      <c r="E22" s="12" t="s">
        <v>96</v>
      </c>
      <c r="F22" s="12" t="s">
        <v>92</v>
      </c>
      <c r="G22" s="12" t="s">
        <v>22</v>
      </c>
      <c r="H22" s="14">
        <v>421</v>
      </c>
    </row>
    <row r="23" spans="1:8" ht="14.25" customHeight="1" x14ac:dyDescent="0.2">
      <c r="A23" s="11">
        <v>16</v>
      </c>
      <c r="B23" s="12" t="s">
        <v>56</v>
      </c>
      <c r="C23" s="11">
        <v>2022</v>
      </c>
      <c r="D23" s="13" t="s">
        <v>43</v>
      </c>
      <c r="E23" s="12" t="s">
        <v>96</v>
      </c>
      <c r="F23" s="12" t="s">
        <v>94</v>
      </c>
      <c r="G23" s="12" t="s">
        <v>22</v>
      </c>
      <c r="H23" s="14">
        <v>139</v>
      </c>
    </row>
    <row r="24" spans="1:8" ht="14.25" customHeight="1" x14ac:dyDescent="0.2">
      <c r="A24" s="11">
        <v>17</v>
      </c>
      <c r="B24" s="12" t="s">
        <v>56</v>
      </c>
      <c r="C24" s="11">
        <v>2024</v>
      </c>
      <c r="D24" s="13" t="s">
        <v>33</v>
      </c>
      <c r="E24" s="12" t="s">
        <v>93</v>
      </c>
      <c r="F24" s="12" t="s">
        <v>95</v>
      </c>
      <c r="G24" s="12" t="s">
        <v>22</v>
      </c>
      <c r="H24" s="14">
        <v>592</v>
      </c>
    </row>
    <row r="25" spans="1:8" ht="14.25" customHeight="1" x14ac:dyDescent="0.2">
      <c r="A25" s="11">
        <v>18</v>
      </c>
      <c r="B25" s="12" t="s">
        <v>45</v>
      </c>
      <c r="C25" s="11">
        <v>2023</v>
      </c>
      <c r="D25" s="13" t="s">
        <v>38</v>
      </c>
      <c r="E25" s="12" t="s">
        <v>93</v>
      </c>
      <c r="F25" s="12" t="s">
        <v>90</v>
      </c>
      <c r="G25" s="12" t="s">
        <v>22</v>
      </c>
      <c r="H25" s="14">
        <v>680</v>
      </c>
    </row>
    <row r="26" spans="1:8" ht="14.25" customHeight="1" x14ac:dyDescent="0.2">
      <c r="A26" s="11">
        <v>19</v>
      </c>
      <c r="B26" s="12" t="s">
        <v>23</v>
      </c>
      <c r="C26" s="11">
        <v>2022</v>
      </c>
      <c r="D26" s="13" t="s">
        <v>30</v>
      </c>
      <c r="E26" s="12" t="s">
        <v>91</v>
      </c>
      <c r="F26" s="12" t="s">
        <v>94</v>
      </c>
      <c r="G26" s="12" t="s">
        <v>22</v>
      </c>
      <c r="H26" s="14">
        <v>477</v>
      </c>
    </row>
    <row r="27" spans="1:8" ht="14.25" customHeight="1" x14ac:dyDescent="0.2">
      <c r="A27" s="11">
        <v>20</v>
      </c>
      <c r="B27" s="12" t="s">
        <v>32</v>
      </c>
      <c r="C27" s="11">
        <v>2022</v>
      </c>
      <c r="D27" s="13" t="s">
        <v>33</v>
      </c>
      <c r="E27" s="12" t="s">
        <v>91</v>
      </c>
      <c r="F27" s="12" t="s">
        <v>94</v>
      </c>
      <c r="G27" s="12" t="s">
        <v>22</v>
      </c>
      <c r="H27" s="14">
        <v>168</v>
      </c>
    </row>
    <row r="28" spans="1:8" ht="14.25" customHeight="1" x14ac:dyDescent="0.2">
      <c r="A28" s="11">
        <v>21</v>
      </c>
      <c r="B28" s="12" t="s">
        <v>26</v>
      </c>
      <c r="C28" s="11">
        <v>2023</v>
      </c>
      <c r="D28" s="13" t="s">
        <v>36</v>
      </c>
      <c r="E28" s="12" t="s">
        <v>91</v>
      </c>
      <c r="F28" s="12" t="s">
        <v>92</v>
      </c>
      <c r="G28" s="12" t="s">
        <v>22</v>
      </c>
      <c r="H28" s="14">
        <v>755</v>
      </c>
    </row>
    <row r="29" spans="1:8" ht="14.25" customHeight="1" x14ac:dyDescent="0.2">
      <c r="A29" s="11">
        <v>22</v>
      </c>
      <c r="B29" s="12" t="s">
        <v>56</v>
      </c>
      <c r="C29" s="11">
        <v>2024</v>
      </c>
      <c r="D29" s="13" t="s">
        <v>27</v>
      </c>
      <c r="E29" s="12" t="s">
        <v>93</v>
      </c>
      <c r="F29" s="12" t="s">
        <v>90</v>
      </c>
      <c r="G29" s="12" t="s">
        <v>22</v>
      </c>
      <c r="H29" s="14">
        <v>417</v>
      </c>
    </row>
    <row r="30" spans="1:8" ht="14.25" customHeight="1" x14ac:dyDescent="0.2">
      <c r="A30" s="11">
        <v>23</v>
      </c>
      <c r="B30" s="12" t="s">
        <v>32</v>
      </c>
      <c r="C30" s="11">
        <v>2023</v>
      </c>
      <c r="D30" s="13" t="s">
        <v>55</v>
      </c>
      <c r="E30" s="12" t="s">
        <v>91</v>
      </c>
      <c r="F30" s="12" t="s">
        <v>92</v>
      </c>
      <c r="G30" s="12" t="s">
        <v>22</v>
      </c>
      <c r="H30" s="14">
        <v>800</v>
      </c>
    </row>
    <row r="31" spans="1:8" ht="14.25" customHeight="1" x14ac:dyDescent="0.2">
      <c r="A31" s="11">
        <v>24</v>
      </c>
      <c r="B31" s="12" t="s">
        <v>26</v>
      </c>
      <c r="C31" s="11">
        <v>2022</v>
      </c>
      <c r="D31" s="13" t="s">
        <v>38</v>
      </c>
      <c r="E31" s="12" t="s">
        <v>93</v>
      </c>
      <c r="F31" s="12" t="s">
        <v>90</v>
      </c>
      <c r="G31" s="12" t="s">
        <v>22</v>
      </c>
      <c r="H31" s="14">
        <v>270</v>
      </c>
    </row>
    <row r="32" spans="1:8" ht="14.25" customHeight="1" x14ac:dyDescent="0.2">
      <c r="A32" s="11">
        <v>25</v>
      </c>
      <c r="B32" s="12" t="s">
        <v>44</v>
      </c>
      <c r="C32" s="11">
        <v>2022</v>
      </c>
      <c r="D32" s="13" t="s">
        <v>20</v>
      </c>
      <c r="E32" s="12" t="s">
        <v>96</v>
      </c>
      <c r="F32" s="12" t="s">
        <v>95</v>
      </c>
      <c r="G32" s="12" t="s">
        <v>22</v>
      </c>
      <c r="H32" s="14">
        <v>628</v>
      </c>
    </row>
    <row r="33" spans="1:8" ht="14.25" customHeight="1" x14ac:dyDescent="0.2">
      <c r="A33" s="11">
        <v>26</v>
      </c>
      <c r="B33" s="12" t="s">
        <v>19</v>
      </c>
      <c r="C33" s="11">
        <v>2024</v>
      </c>
      <c r="D33" s="13" t="s">
        <v>36</v>
      </c>
      <c r="E33" s="12" t="s">
        <v>89</v>
      </c>
      <c r="F33" s="12" t="s">
        <v>95</v>
      </c>
      <c r="G33" s="12" t="s">
        <v>22</v>
      </c>
      <c r="H33" s="14">
        <v>126</v>
      </c>
    </row>
    <row r="34" spans="1:8" ht="14.25" customHeight="1" x14ac:dyDescent="0.2">
      <c r="A34" s="11">
        <v>27</v>
      </c>
      <c r="B34" s="12" t="s">
        <v>39</v>
      </c>
      <c r="C34" s="11">
        <v>2022</v>
      </c>
      <c r="D34" s="13" t="s">
        <v>24</v>
      </c>
      <c r="E34" s="12" t="s">
        <v>93</v>
      </c>
      <c r="F34" s="12" t="s">
        <v>95</v>
      </c>
      <c r="G34" s="12" t="s">
        <v>22</v>
      </c>
      <c r="H34" s="14">
        <v>475</v>
      </c>
    </row>
    <row r="35" spans="1:8" ht="14.25" customHeight="1" x14ac:dyDescent="0.2">
      <c r="A35" s="11">
        <v>28</v>
      </c>
      <c r="B35" s="12" t="s">
        <v>34</v>
      </c>
      <c r="C35" s="11">
        <v>2023</v>
      </c>
      <c r="D35" s="13" t="s">
        <v>33</v>
      </c>
      <c r="E35" s="12" t="s">
        <v>96</v>
      </c>
      <c r="F35" s="12" t="s">
        <v>92</v>
      </c>
      <c r="G35" s="12" t="s">
        <v>22</v>
      </c>
      <c r="H35" s="14">
        <v>517</v>
      </c>
    </row>
    <row r="36" spans="1:8" ht="14.25" customHeight="1" x14ac:dyDescent="0.2">
      <c r="A36" s="11">
        <v>29</v>
      </c>
      <c r="B36" s="12" t="s">
        <v>29</v>
      </c>
      <c r="C36" s="11">
        <v>2023</v>
      </c>
      <c r="D36" s="13" t="s">
        <v>24</v>
      </c>
      <c r="E36" s="12" t="s">
        <v>96</v>
      </c>
      <c r="F36" s="12" t="s">
        <v>95</v>
      </c>
      <c r="G36" s="12" t="s">
        <v>22</v>
      </c>
      <c r="H36" s="14">
        <v>541</v>
      </c>
    </row>
    <row r="37" spans="1:8" ht="14.25" customHeight="1" x14ac:dyDescent="0.2">
      <c r="A37" s="11">
        <v>30</v>
      </c>
      <c r="B37" s="12" t="s">
        <v>32</v>
      </c>
      <c r="C37" s="11">
        <v>2022</v>
      </c>
      <c r="D37" s="13" t="s">
        <v>24</v>
      </c>
      <c r="E37" s="12" t="s">
        <v>89</v>
      </c>
      <c r="F37" s="12" t="s">
        <v>90</v>
      </c>
      <c r="G37" s="12" t="s">
        <v>22</v>
      </c>
      <c r="H37" s="14">
        <v>360</v>
      </c>
    </row>
    <row r="38" spans="1:8" ht="14.25" customHeight="1" x14ac:dyDescent="0.2">
      <c r="A38" s="11">
        <v>31</v>
      </c>
      <c r="B38" s="12" t="s">
        <v>23</v>
      </c>
      <c r="C38" s="11">
        <v>2022</v>
      </c>
      <c r="D38" s="13" t="s">
        <v>27</v>
      </c>
      <c r="E38" s="12" t="s">
        <v>91</v>
      </c>
      <c r="F38" s="12" t="s">
        <v>92</v>
      </c>
      <c r="G38" s="12" t="s">
        <v>22</v>
      </c>
      <c r="H38" s="14">
        <v>110</v>
      </c>
    </row>
    <row r="39" spans="1:8" ht="14.25" customHeight="1" x14ac:dyDescent="0.2">
      <c r="A39" s="15"/>
      <c r="B39" s="15"/>
      <c r="C39" s="15"/>
      <c r="D39" s="15"/>
      <c r="E39" s="15"/>
      <c r="F39" s="15"/>
      <c r="G39" s="15"/>
      <c r="H39" s="15"/>
    </row>
  </sheetData>
  <dataValidations count="8">
    <dataValidation type="whole" operator="greaterThan" allowBlank="1" showInputMessage="1" showErrorMessage="1" sqref="A8:A38" xr:uid="{00000000-0002-0000-0400-000000000000}">
      <formula1>0</formula1>
      <formula2>0</formula2>
    </dataValidation>
    <dataValidation type="whole" allowBlank="1" showInputMessage="1" showErrorMessage="1" error="Enter a valid year out of 2022 and 2023" sqref="C8:C1038" xr:uid="{00000000-0002-0000-0400-000001000000}">
      <formula1>2022</formula1>
      <formula2>2023</formula2>
    </dataValidation>
    <dataValidation type="list" operator="greaterThan" allowBlank="1" showInputMessage="1" showErrorMessage="1" error="Enter a valid date." sqref="D8:D38" xr:uid="{00000000-0002-0000-0400-000002000000}">
      <formula1>"January,February,March,April,May,June,July,August,September,October,November,December"</formula1>
      <formula2>0</formula2>
    </dataValidation>
    <dataValidation type="custom" allowBlank="1" showInputMessage="1" showErrorMessage="1" error="Entered value should be a positive number." sqref="H8:H38" xr:uid="{00000000-0002-0000-0400-000003000000}">
      <formula1>ISNUMBER(H8)</formula1>
      <formula2>0</formula2>
    </dataValidation>
    <dataValidation type="list" allowBlank="1" showInputMessage="1" showErrorMessage="1" sqref="E8:E1038" xr:uid="{00000000-0002-0000-0400-000004000000}">
      <formula1>"Household Residue,Food and Drink Waste,Garden Waste,Commercial and Industrial Waste"</formula1>
      <formula2>0</formula2>
    </dataValidation>
    <dataValidation type="list" allowBlank="1" showInputMessage="1" showErrorMessage="1" sqref="F8:F1038" xr:uid="{00000000-0002-0000-0400-000005000000}">
      <formula1>INDIRECT(SUBSTITUTE(E8, " ", "_"))</formula1>
      <formula2>0</formula2>
    </dataValidation>
    <dataValidation type="list" allowBlank="1" showInputMessage="1" showErrorMessage="1" sqref="G8:G1038" xr:uid="{00000000-0002-0000-0400-000006000000}">
      <formula1>"kg,tonne"</formula1>
      <formula2>0</formula2>
    </dataValidation>
    <dataValidation type="list" allowBlank="1" showInputMessage="1" showErrorMessage="1" sqref="B8:B1038" xr:uid="{00000000-0002-0000-04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9"/>
  <sheetViews>
    <sheetView zoomScale="69" zoomScaleNormal="69" workbookViewId="0">
      <pane ySplit="7" topLeftCell="A8" activePane="bottomLeft" state="frozen"/>
      <selection pane="bottomLeft" activeCell="E11" sqref="E11"/>
    </sheetView>
  </sheetViews>
  <sheetFormatPr defaultColWidth="8.7421875" defaultRowHeight="15" x14ac:dyDescent="0.2"/>
  <cols>
    <col min="1" max="1" width="25.9609375" customWidth="1"/>
    <col min="2" max="4" width="34.03125" customWidth="1"/>
    <col min="5" max="8" width="30.9375" customWidth="1"/>
    <col min="9" max="9" width="25.9609375" customWidth="1"/>
    <col min="10" max="11" width="23" customWidth="1"/>
  </cols>
  <sheetData>
    <row r="1" spans="1:11" ht="14.25" customHeight="1" x14ac:dyDescent="0.2">
      <c r="A1" s="1"/>
      <c r="B1" s="1" t="s">
        <v>0</v>
      </c>
      <c r="C1" s="1"/>
      <c r="D1" s="16"/>
      <c r="E1" s="2"/>
      <c r="F1" s="2"/>
      <c r="G1" s="2"/>
      <c r="H1" s="2"/>
      <c r="I1" s="2"/>
      <c r="J1" s="2"/>
      <c r="K1" s="2"/>
    </row>
    <row r="2" spans="1:11" ht="14.25" customHeight="1" x14ac:dyDescent="0.2">
      <c r="A2" s="3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</row>
    <row r="3" spans="1:11" ht="14.25" customHeight="1" x14ac:dyDescent="0.2">
      <c r="A3" s="4"/>
      <c r="B3" s="4" t="s">
        <v>2</v>
      </c>
      <c r="C3" s="4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">
      <c r="A4" s="5"/>
      <c r="B4" s="5" t="s">
        <v>3</v>
      </c>
      <c r="C4" s="5"/>
      <c r="D4" s="2"/>
      <c r="E4" s="2"/>
      <c r="F4" s="2"/>
      <c r="G4" s="2"/>
      <c r="H4" s="2"/>
      <c r="I4" s="2"/>
      <c r="J4" s="2"/>
      <c r="K4" s="2"/>
    </row>
    <row r="5" spans="1:11" ht="14.25" customHeight="1" x14ac:dyDescent="0.2">
      <c r="A5" s="6"/>
      <c r="B5" s="6" t="s">
        <v>46</v>
      </c>
      <c r="C5" s="6"/>
      <c r="D5" s="2"/>
      <c r="E5" s="2"/>
      <c r="F5" s="2"/>
      <c r="G5" s="2"/>
      <c r="H5" s="2"/>
      <c r="I5" s="2"/>
      <c r="J5" s="2"/>
      <c r="K5" s="2"/>
    </row>
    <row r="6" spans="1:11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97</v>
      </c>
      <c r="F6" s="8" t="s">
        <v>98</v>
      </c>
      <c r="G6" s="8" t="s">
        <v>99</v>
      </c>
      <c r="H6" s="8" t="s">
        <v>100</v>
      </c>
      <c r="I6" s="8" t="s">
        <v>101</v>
      </c>
      <c r="J6" s="8" t="s">
        <v>102</v>
      </c>
      <c r="K6" s="8" t="s">
        <v>103</v>
      </c>
    </row>
    <row r="7" spans="1:11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104</v>
      </c>
      <c r="F7" s="10" t="s">
        <v>105</v>
      </c>
      <c r="G7" s="10" t="s">
        <v>106</v>
      </c>
      <c r="H7" s="10" t="s">
        <v>107</v>
      </c>
      <c r="I7" s="10" t="s">
        <v>108</v>
      </c>
      <c r="J7" s="10" t="s">
        <v>16</v>
      </c>
      <c r="K7" s="10" t="s">
        <v>109</v>
      </c>
    </row>
    <row r="8" spans="1:11" ht="14.25" customHeight="1" x14ac:dyDescent="0.2">
      <c r="A8" s="11">
        <v>1</v>
      </c>
      <c r="B8" s="12" t="s">
        <v>45</v>
      </c>
      <c r="C8" s="11">
        <v>2024</v>
      </c>
      <c r="D8" s="13" t="s">
        <v>20</v>
      </c>
      <c r="E8" s="12" t="s">
        <v>110</v>
      </c>
      <c r="F8" s="12"/>
      <c r="G8" s="12" t="s">
        <v>111</v>
      </c>
      <c r="H8" s="12"/>
      <c r="I8" s="12"/>
      <c r="J8" s="18"/>
      <c r="K8" s="14">
        <v>4476</v>
      </c>
    </row>
    <row r="9" spans="1:11" ht="14.25" customHeight="1" x14ac:dyDescent="0.2">
      <c r="A9" s="11">
        <v>2</v>
      </c>
      <c r="B9" s="12" t="s">
        <v>26</v>
      </c>
      <c r="C9" s="11">
        <v>2024</v>
      </c>
      <c r="D9" s="13" t="s">
        <v>55</v>
      </c>
      <c r="E9" s="12" t="s">
        <v>112</v>
      </c>
      <c r="F9" s="12"/>
      <c r="G9" s="12"/>
      <c r="H9" s="12" t="s">
        <v>113</v>
      </c>
      <c r="I9" s="12" t="s">
        <v>114</v>
      </c>
      <c r="J9" s="18"/>
      <c r="K9" s="14">
        <v>7</v>
      </c>
    </row>
    <row r="10" spans="1:11" ht="14.25" customHeight="1" x14ac:dyDescent="0.2">
      <c r="A10" s="11">
        <v>3</v>
      </c>
      <c r="B10" s="12" t="s">
        <v>29</v>
      </c>
      <c r="C10" s="11">
        <v>2022</v>
      </c>
      <c r="D10" s="13" t="s">
        <v>40</v>
      </c>
      <c r="E10" s="12" t="s">
        <v>115</v>
      </c>
      <c r="F10" s="12" t="s">
        <v>116</v>
      </c>
      <c r="G10" s="12"/>
      <c r="H10" s="12"/>
      <c r="I10" s="12"/>
      <c r="J10" s="18"/>
      <c r="K10" s="14">
        <v>498</v>
      </c>
    </row>
    <row r="11" spans="1:11" ht="14.25" customHeight="1" x14ac:dyDescent="0.2">
      <c r="A11" s="11">
        <v>4</v>
      </c>
      <c r="B11" s="12" t="s">
        <v>44</v>
      </c>
      <c r="C11" s="11">
        <v>2023</v>
      </c>
      <c r="D11" s="13" t="s">
        <v>27</v>
      </c>
      <c r="E11" s="12" t="s">
        <v>112</v>
      </c>
      <c r="F11" s="12"/>
      <c r="G11" s="12"/>
      <c r="H11" s="12" t="s">
        <v>113</v>
      </c>
      <c r="I11" s="12" t="s">
        <v>114</v>
      </c>
      <c r="J11" s="18"/>
      <c r="K11" s="14">
        <v>44</v>
      </c>
    </row>
    <row r="12" spans="1:11" ht="14.25" customHeight="1" x14ac:dyDescent="0.2">
      <c r="A12" s="11">
        <v>5</v>
      </c>
      <c r="B12" s="12" t="s">
        <v>56</v>
      </c>
      <c r="C12" s="11">
        <v>2024</v>
      </c>
      <c r="D12" s="13" t="s">
        <v>27</v>
      </c>
      <c r="E12" s="12" t="s">
        <v>115</v>
      </c>
      <c r="F12" s="12" t="s">
        <v>116</v>
      </c>
      <c r="G12" s="12"/>
      <c r="H12" s="12"/>
      <c r="I12" s="12"/>
      <c r="J12" s="18"/>
      <c r="K12" s="14">
        <v>1207</v>
      </c>
    </row>
    <row r="13" spans="1:11" ht="14.25" customHeight="1" x14ac:dyDescent="0.2">
      <c r="A13" s="11">
        <v>6</v>
      </c>
      <c r="B13" s="12" t="s">
        <v>29</v>
      </c>
      <c r="C13" s="11">
        <v>2024</v>
      </c>
      <c r="D13" s="13" t="s">
        <v>35</v>
      </c>
      <c r="E13" s="12" t="s">
        <v>112</v>
      </c>
      <c r="F13" s="12"/>
      <c r="G13" s="12"/>
      <c r="H13" s="12" t="s">
        <v>113</v>
      </c>
      <c r="I13" s="12" t="s">
        <v>117</v>
      </c>
      <c r="J13" s="18"/>
      <c r="K13" s="14">
        <v>71</v>
      </c>
    </row>
    <row r="14" spans="1:11" ht="14.25" customHeight="1" x14ac:dyDescent="0.2">
      <c r="A14" s="11">
        <v>7</v>
      </c>
      <c r="B14" s="12" t="s">
        <v>56</v>
      </c>
      <c r="C14" s="11">
        <v>2022</v>
      </c>
      <c r="D14" s="13" t="s">
        <v>35</v>
      </c>
      <c r="E14" s="12" t="s">
        <v>110</v>
      </c>
      <c r="F14" s="12"/>
      <c r="G14" s="12" t="s">
        <v>118</v>
      </c>
      <c r="H14" s="12"/>
      <c r="I14" s="12"/>
      <c r="J14" s="18"/>
      <c r="K14" s="14">
        <v>6352</v>
      </c>
    </row>
    <row r="15" spans="1:11" ht="14.25" customHeight="1" x14ac:dyDescent="0.2">
      <c r="A15" s="11">
        <v>8</v>
      </c>
      <c r="B15" s="12" t="s">
        <v>44</v>
      </c>
      <c r="C15" s="11">
        <v>2023</v>
      </c>
      <c r="D15" s="13" t="s">
        <v>38</v>
      </c>
      <c r="E15" s="12" t="s">
        <v>112</v>
      </c>
      <c r="F15" s="12"/>
      <c r="G15" s="12"/>
      <c r="H15" s="12" t="s">
        <v>113</v>
      </c>
      <c r="I15" s="12" t="s">
        <v>117</v>
      </c>
      <c r="J15" s="18"/>
      <c r="K15" s="14">
        <v>24</v>
      </c>
    </row>
    <row r="16" spans="1:11" ht="14.25" customHeight="1" x14ac:dyDescent="0.2">
      <c r="A16" s="11">
        <v>9</v>
      </c>
      <c r="B16" s="12" t="s">
        <v>44</v>
      </c>
      <c r="C16" s="11">
        <v>2024</v>
      </c>
      <c r="D16" s="13" t="s">
        <v>55</v>
      </c>
      <c r="E16" s="12" t="s">
        <v>110</v>
      </c>
      <c r="F16" s="12"/>
      <c r="G16" s="12" t="s">
        <v>118</v>
      </c>
      <c r="H16" s="12"/>
      <c r="I16" s="12"/>
      <c r="J16" s="18"/>
      <c r="K16" s="14">
        <v>6353</v>
      </c>
    </row>
    <row r="17" spans="1:11" ht="14.25" customHeight="1" x14ac:dyDescent="0.2">
      <c r="A17" s="11">
        <v>10</v>
      </c>
      <c r="B17" s="12" t="s">
        <v>37</v>
      </c>
      <c r="C17" s="11">
        <v>2024</v>
      </c>
      <c r="D17" s="13" t="s">
        <v>20</v>
      </c>
      <c r="E17" s="12" t="s">
        <v>115</v>
      </c>
      <c r="F17" s="12" t="s">
        <v>116</v>
      </c>
      <c r="G17" s="12"/>
      <c r="H17" s="12"/>
      <c r="I17" s="12"/>
      <c r="J17" s="18"/>
      <c r="K17" s="14">
        <v>394</v>
      </c>
    </row>
    <row r="18" spans="1:11" ht="14.25" customHeight="1" x14ac:dyDescent="0.2">
      <c r="A18" s="11">
        <v>11</v>
      </c>
      <c r="B18" s="12" t="s">
        <v>26</v>
      </c>
      <c r="C18" s="11">
        <v>2023</v>
      </c>
      <c r="D18" s="13" t="s">
        <v>27</v>
      </c>
      <c r="E18" s="12" t="s">
        <v>110</v>
      </c>
      <c r="F18" s="12"/>
      <c r="G18" s="12" t="s">
        <v>119</v>
      </c>
      <c r="H18" s="12"/>
      <c r="I18" s="12"/>
      <c r="J18" s="18"/>
      <c r="K18" s="14">
        <v>1177</v>
      </c>
    </row>
    <row r="19" spans="1:11" ht="14.25" customHeight="1" x14ac:dyDescent="0.2">
      <c r="A19" s="11">
        <v>12</v>
      </c>
      <c r="B19" s="12" t="s">
        <v>56</v>
      </c>
      <c r="C19" s="11">
        <v>2024</v>
      </c>
      <c r="D19" s="13" t="s">
        <v>43</v>
      </c>
      <c r="E19" s="12" t="s">
        <v>110</v>
      </c>
      <c r="F19" s="12"/>
      <c r="G19" s="12" t="s">
        <v>111</v>
      </c>
      <c r="H19" s="12"/>
      <c r="I19" s="12"/>
      <c r="J19" s="18"/>
      <c r="K19" s="14">
        <v>3874</v>
      </c>
    </row>
    <row r="20" spans="1:11" ht="14.25" customHeight="1" x14ac:dyDescent="0.2">
      <c r="A20" s="11">
        <v>13</v>
      </c>
      <c r="B20" s="12" t="s">
        <v>26</v>
      </c>
      <c r="C20" s="11">
        <v>2024</v>
      </c>
      <c r="D20" s="13" t="s">
        <v>42</v>
      </c>
      <c r="E20" s="12" t="s">
        <v>115</v>
      </c>
      <c r="F20" s="12" t="s">
        <v>120</v>
      </c>
      <c r="G20" s="12"/>
      <c r="H20" s="12"/>
      <c r="I20" s="12"/>
      <c r="J20" s="18"/>
      <c r="K20" s="14">
        <v>341</v>
      </c>
    </row>
    <row r="21" spans="1:11" ht="14.25" customHeight="1" x14ac:dyDescent="0.2">
      <c r="A21" s="11">
        <v>14</v>
      </c>
      <c r="B21" s="12" t="s">
        <v>19</v>
      </c>
      <c r="C21" s="11">
        <v>2022</v>
      </c>
      <c r="D21" s="13" t="s">
        <v>35</v>
      </c>
      <c r="E21" s="12" t="s">
        <v>110</v>
      </c>
      <c r="F21" s="12"/>
      <c r="G21" s="12" t="s">
        <v>121</v>
      </c>
      <c r="H21" s="12"/>
      <c r="I21" s="12"/>
      <c r="J21" s="18"/>
      <c r="K21" s="14">
        <v>1512</v>
      </c>
    </row>
    <row r="22" spans="1:11" ht="14.25" customHeight="1" x14ac:dyDescent="0.2">
      <c r="A22" s="11">
        <v>15</v>
      </c>
      <c r="B22" s="12" t="s">
        <v>19</v>
      </c>
      <c r="C22" s="11">
        <v>2024</v>
      </c>
      <c r="D22" s="13" t="s">
        <v>24</v>
      </c>
      <c r="E22" s="12" t="s">
        <v>110</v>
      </c>
      <c r="F22" s="12"/>
      <c r="G22" s="12" t="s">
        <v>121</v>
      </c>
      <c r="H22" s="12"/>
      <c r="I22" s="12"/>
      <c r="J22" s="18"/>
      <c r="K22" s="14">
        <v>1085</v>
      </c>
    </row>
    <row r="23" spans="1:11" ht="14.25" customHeight="1" x14ac:dyDescent="0.2">
      <c r="A23" s="11">
        <v>16</v>
      </c>
      <c r="B23" s="12" t="s">
        <v>45</v>
      </c>
      <c r="C23" s="11">
        <v>2022</v>
      </c>
      <c r="D23" s="13" t="s">
        <v>35</v>
      </c>
      <c r="E23" s="12" t="s">
        <v>112</v>
      </c>
      <c r="F23" s="12"/>
      <c r="G23" s="12"/>
      <c r="H23" s="12" t="s">
        <v>113</v>
      </c>
      <c r="I23" s="12" t="s">
        <v>117</v>
      </c>
      <c r="J23" s="18"/>
      <c r="K23" s="14">
        <v>110</v>
      </c>
    </row>
    <row r="24" spans="1:11" ht="14.25" customHeight="1" x14ac:dyDescent="0.2">
      <c r="A24" s="11">
        <v>17</v>
      </c>
      <c r="B24" s="12" t="s">
        <v>23</v>
      </c>
      <c r="C24" s="11">
        <v>2023</v>
      </c>
      <c r="D24" s="13" t="s">
        <v>27</v>
      </c>
      <c r="E24" s="12" t="s">
        <v>112</v>
      </c>
      <c r="F24" s="12"/>
      <c r="G24" s="12"/>
      <c r="H24" s="12" t="s">
        <v>113</v>
      </c>
      <c r="I24" s="12" t="s">
        <v>114</v>
      </c>
      <c r="J24" s="18"/>
      <c r="K24" s="14">
        <v>77</v>
      </c>
    </row>
    <row r="25" spans="1:11" ht="14.25" customHeight="1" x14ac:dyDescent="0.2">
      <c r="A25" s="11">
        <v>18</v>
      </c>
      <c r="B25" s="12" t="s">
        <v>45</v>
      </c>
      <c r="C25" s="11">
        <v>2022</v>
      </c>
      <c r="D25" s="13" t="s">
        <v>35</v>
      </c>
      <c r="E25" s="12" t="s">
        <v>115</v>
      </c>
      <c r="F25" s="12" t="s">
        <v>120</v>
      </c>
      <c r="G25" s="12"/>
      <c r="H25" s="12"/>
      <c r="I25" s="12"/>
      <c r="J25" s="18"/>
      <c r="K25" s="14">
        <v>1469</v>
      </c>
    </row>
    <row r="26" spans="1:11" ht="14.25" customHeight="1" x14ac:dyDescent="0.2">
      <c r="A26" s="11">
        <v>19</v>
      </c>
      <c r="B26" s="12" t="s">
        <v>23</v>
      </c>
      <c r="C26" s="11">
        <v>2023</v>
      </c>
      <c r="D26" s="13" t="s">
        <v>35</v>
      </c>
      <c r="E26" s="12" t="s">
        <v>115</v>
      </c>
      <c r="F26" s="12" t="s">
        <v>116</v>
      </c>
      <c r="G26" s="12"/>
      <c r="H26" s="12"/>
      <c r="I26" s="12"/>
      <c r="J26" s="18"/>
      <c r="K26" s="14">
        <v>610</v>
      </c>
    </row>
    <row r="27" spans="1:11" ht="14.25" customHeight="1" x14ac:dyDescent="0.2">
      <c r="A27" s="11">
        <v>20</v>
      </c>
      <c r="B27" s="12" t="s">
        <v>32</v>
      </c>
      <c r="C27" s="11">
        <v>2023</v>
      </c>
      <c r="D27" s="13" t="s">
        <v>27</v>
      </c>
      <c r="E27" s="12" t="s">
        <v>112</v>
      </c>
      <c r="F27" s="12"/>
      <c r="G27" s="12"/>
      <c r="H27" s="12" t="s">
        <v>113</v>
      </c>
      <c r="I27" s="12" t="s">
        <v>114</v>
      </c>
      <c r="J27" s="18"/>
      <c r="K27" s="14">
        <v>113</v>
      </c>
    </row>
    <row r="28" spans="1:11" ht="14.25" customHeight="1" x14ac:dyDescent="0.2">
      <c r="A28" s="11">
        <v>21</v>
      </c>
      <c r="B28" s="12" t="s">
        <v>56</v>
      </c>
      <c r="C28" s="11">
        <v>2024</v>
      </c>
      <c r="D28" s="13" t="s">
        <v>24</v>
      </c>
      <c r="E28" s="12" t="s">
        <v>110</v>
      </c>
      <c r="F28" s="12"/>
      <c r="G28" s="12" t="s">
        <v>118</v>
      </c>
      <c r="H28" s="12"/>
      <c r="I28" s="12"/>
      <c r="J28" s="18"/>
      <c r="K28" s="14">
        <v>6590</v>
      </c>
    </row>
    <row r="29" spans="1:11" ht="14.25" customHeight="1" x14ac:dyDescent="0.2">
      <c r="A29" s="11">
        <v>22</v>
      </c>
      <c r="B29" s="12" t="s">
        <v>39</v>
      </c>
      <c r="C29" s="11">
        <v>2023</v>
      </c>
      <c r="D29" s="13" t="s">
        <v>27</v>
      </c>
      <c r="E29" s="12" t="s">
        <v>112</v>
      </c>
      <c r="F29" s="12"/>
      <c r="G29" s="12"/>
      <c r="H29" s="12" t="s">
        <v>122</v>
      </c>
      <c r="I29" s="12" t="s">
        <v>123</v>
      </c>
      <c r="J29" s="18" t="s">
        <v>124</v>
      </c>
      <c r="K29" s="14">
        <v>283</v>
      </c>
    </row>
    <row r="30" spans="1:11" ht="14.25" customHeight="1" x14ac:dyDescent="0.2">
      <c r="A30" s="11">
        <v>23</v>
      </c>
      <c r="B30" s="12" t="s">
        <v>19</v>
      </c>
      <c r="C30" s="11">
        <v>2023</v>
      </c>
      <c r="D30" s="13" t="s">
        <v>24</v>
      </c>
      <c r="E30" s="12" t="s">
        <v>112</v>
      </c>
      <c r="F30" s="12"/>
      <c r="G30" s="12"/>
      <c r="H30" s="12" t="s">
        <v>122</v>
      </c>
      <c r="I30" s="12" t="s">
        <v>125</v>
      </c>
      <c r="J30" s="18" t="s">
        <v>25</v>
      </c>
      <c r="K30" s="14">
        <v>399</v>
      </c>
    </row>
    <row r="31" spans="1:11" ht="14.25" customHeight="1" x14ac:dyDescent="0.2">
      <c r="A31" s="11">
        <v>24</v>
      </c>
      <c r="B31" s="12" t="s">
        <v>37</v>
      </c>
      <c r="C31" s="11">
        <v>2022</v>
      </c>
      <c r="D31" s="13" t="s">
        <v>38</v>
      </c>
      <c r="E31" s="12" t="s">
        <v>110</v>
      </c>
      <c r="F31" s="12"/>
      <c r="G31" s="12" t="s">
        <v>118</v>
      </c>
      <c r="H31" s="12"/>
      <c r="I31" s="12"/>
      <c r="J31" s="18"/>
      <c r="K31" s="14">
        <v>5619</v>
      </c>
    </row>
    <row r="32" spans="1:11" ht="14.25" customHeight="1" x14ac:dyDescent="0.2">
      <c r="A32" s="11">
        <v>25</v>
      </c>
      <c r="B32" s="12" t="s">
        <v>44</v>
      </c>
      <c r="C32" s="11">
        <v>2024</v>
      </c>
      <c r="D32" s="13" t="s">
        <v>20</v>
      </c>
      <c r="E32" s="12" t="s">
        <v>112</v>
      </c>
      <c r="F32" s="12"/>
      <c r="G32" s="12"/>
      <c r="H32" s="12" t="s">
        <v>122</v>
      </c>
      <c r="I32" s="12" t="s">
        <v>126</v>
      </c>
      <c r="J32" s="18" t="s">
        <v>21</v>
      </c>
      <c r="K32" s="14">
        <v>163</v>
      </c>
    </row>
    <row r="33" spans="1:11" ht="14.25" customHeight="1" x14ac:dyDescent="0.2">
      <c r="A33" s="11">
        <v>26</v>
      </c>
      <c r="B33" s="12" t="s">
        <v>26</v>
      </c>
      <c r="C33" s="11">
        <v>2022</v>
      </c>
      <c r="D33" s="13" t="s">
        <v>38</v>
      </c>
      <c r="E33" s="12" t="s">
        <v>112</v>
      </c>
      <c r="F33" s="12"/>
      <c r="G33" s="12"/>
      <c r="H33" s="12" t="s">
        <v>122</v>
      </c>
      <c r="I33" s="12" t="s">
        <v>125</v>
      </c>
      <c r="J33" s="18" t="s">
        <v>25</v>
      </c>
      <c r="K33" s="14">
        <v>255</v>
      </c>
    </row>
    <row r="34" spans="1:11" ht="14.25" customHeight="1" x14ac:dyDescent="0.2">
      <c r="A34" s="11">
        <v>27</v>
      </c>
      <c r="B34" s="12" t="s">
        <v>29</v>
      </c>
      <c r="C34" s="11">
        <v>2023</v>
      </c>
      <c r="D34" s="13" t="s">
        <v>33</v>
      </c>
      <c r="E34" s="12" t="s">
        <v>115</v>
      </c>
      <c r="F34" s="12" t="s">
        <v>116</v>
      </c>
      <c r="G34" s="12"/>
      <c r="H34" s="12"/>
      <c r="I34" s="12"/>
      <c r="J34" s="18"/>
      <c r="K34" s="14">
        <v>728</v>
      </c>
    </row>
    <row r="35" spans="1:11" ht="14.25" customHeight="1" x14ac:dyDescent="0.2">
      <c r="A35" s="11">
        <v>28</v>
      </c>
      <c r="B35" s="12" t="s">
        <v>32</v>
      </c>
      <c r="C35" s="11">
        <v>2023</v>
      </c>
      <c r="D35" s="13" t="s">
        <v>43</v>
      </c>
      <c r="E35" s="12" t="s">
        <v>110</v>
      </c>
      <c r="F35" s="12"/>
      <c r="G35" s="12" t="s">
        <v>118</v>
      </c>
      <c r="H35" s="12"/>
      <c r="I35" s="12"/>
      <c r="J35" s="18"/>
      <c r="K35" s="14">
        <v>5000</v>
      </c>
    </row>
    <row r="36" spans="1:11" ht="14.25" customHeight="1" x14ac:dyDescent="0.2">
      <c r="A36" s="11">
        <v>29</v>
      </c>
      <c r="B36" s="12" t="s">
        <v>32</v>
      </c>
      <c r="C36" s="11">
        <v>2023</v>
      </c>
      <c r="D36" s="13" t="s">
        <v>40</v>
      </c>
      <c r="E36" s="12" t="s">
        <v>112</v>
      </c>
      <c r="F36" s="12"/>
      <c r="G36" s="12"/>
      <c r="H36" s="12" t="s">
        <v>122</v>
      </c>
      <c r="I36" s="12" t="s">
        <v>123</v>
      </c>
      <c r="J36" s="18" t="s">
        <v>124</v>
      </c>
      <c r="K36" s="14">
        <v>380</v>
      </c>
    </row>
    <row r="37" spans="1:11" ht="14.25" customHeight="1" x14ac:dyDescent="0.2">
      <c r="A37" s="11">
        <v>30</v>
      </c>
      <c r="B37" s="12" t="s">
        <v>19</v>
      </c>
      <c r="C37" s="11">
        <v>2022</v>
      </c>
      <c r="D37" s="13" t="s">
        <v>36</v>
      </c>
      <c r="E37" s="12" t="s">
        <v>115</v>
      </c>
      <c r="F37" s="12" t="s">
        <v>120</v>
      </c>
      <c r="G37" s="12"/>
      <c r="H37" s="12"/>
      <c r="I37" s="12"/>
      <c r="J37" s="18"/>
      <c r="K37" s="14">
        <v>341</v>
      </c>
    </row>
    <row r="38" spans="1:11" ht="14.25" customHeight="1" x14ac:dyDescent="0.2">
      <c r="A38" s="11">
        <v>31</v>
      </c>
      <c r="B38" s="12" t="s">
        <v>34</v>
      </c>
      <c r="C38" s="11">
        <v>2023</v>
      </c>
      <c r="D38" s="13" t="s">
        <v>33</v>
      </c>
      <c r="E38" s="12" t="s">
        <v>110</v>
      </c>
      <c r="F38" s="12"/>
      <c r="G38" s="12" t="s">
        <v>119</v>
      </c>
      <c r="H38" s="12"/>
      <c r="I38" s="12"/>
      <c r="J38" s="18"/>
      <c r="K38" s="14">
        <v>2029</v>
      </c>
    </row>
    <row r="39" spans="1:11" ht="14.2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</sheetData>
  <conditionalFormatting sqref="F8:F1048576">
    <cfRule type="expression" dxfId="4" priority="2">
      <formula>(OR(E8="Airways",E8="Roadways"))</formula>
    </cfRule>
  </conditionalFormatting>
  <conditionalFormatting sqref="G8:G1048576">
    <cfRule type="expression" dxfId="3" priority="3">
      <formula>OR(E8="Roadways",E8="Railways")</formula>
    </cfRule>
  </conditionalFormatting>
  <conditionalFormatting sqref="H8:H1048576">
    <cfRule type="expression" dxfId="2" priority="6">
      <formula>OR(E8="Airways", E8="Railways")</formula>
    </cfRule>
  </conditionalFormatting>
  <conditionalFormatting sqref="I8:I1048576">
    <cfRule type="expression" dxfId="1" priority="5">
      <formula>OR(E8="Airways", E8="Railways")</formula>
    </cfRule>
  </conditionalFormatting>
  <conditionalFormatting sqref="J8:J1048576">
    <cfRule type="expression" dxfId="0" priority="4">
      <formula>OR(E8="Airways",E8="Railways",H8="Public")</formula>
    </cfRule>
  </conditionalFormatting>
  <dataValidations count="11">
    <dataValidation type="whole" operator="greaterThan" allowBlank="1" showInputMessage="1" showErrorMessage="1" sqref="A8:A38" xr:uid="{00000000-0002-0000-0500-000000000000}">
      <formula1>0</formula1>
      <formula2>0</formula2>
    </dataValidation>
    <dataValidation type="whole" allowBlank="1" showInputMessage="1" showErrorMessage="1" error="Enter a valid year out of 2022 and 2023" sqref="C8:C38" xr:uid="{00000000-0002-0000-0500-000001000000}">
      <formula1>2022</formula1>
      <formula2>2023</formula2>
    </dataValidation>
    <dataValidation type="custom" allowBlank="1" showInputMessage="1" showErrorMessage="1" error="Entered value should be a positive number." sqref="K8:K38" xr:uid="{00000000-0002-0000-0500-000002000000}">
      <formula1>ISNUMBER(K8)</formula1>
      <formula2>0</formula2>
    </dataValidation>
    <dataValidation type="list" operator="greaterThan" allowBlank="1" showInputMessage="1" showErrorMessage="1" error="Enter a valid date." sqref="D8:D38" xr:uid="{00000000-0002-0000-05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E8:E1038" xr:uid="{00000000-0002-0000-0500-000004000000}">
      <formula1>"Airways,Roadways,Railways"</formula1>
      <formula2>0</formula2>
    </dataValidation>
    <dataValidation type="list" allowBlank="1" showInputMessage="1" showErrorMessage="1" sqref="H8:H1038" xr:uid="{00000000-0002-0000-0500-000005000000}">
      <formula1>"Public,Personal"</formula1>
      <formula2>0</formula2>
    </dataValidation>
    <dataValidation type="list" allowBlank="1" showInputMessage="1" showErrorMessage="1" sqref="G8:G1038" xr:uid="{00000000-0002-0000-0500-000006000000}">
      <formula1>"Domestic,Short Haul,Long Haul,International"</formula1>
      <formula2>0</formula2>
    </dataValidation>
    <dataValidation type="list" allowBlank="1" showInputMessage="1" showErrorMessage="1" sqref="F8:F1038" xr:uid="{00000000-0002-0000-0500-000007000000}">
      <formula1>"National Railways,Metro"</formula1>
      <formula2>0</formula2>
    </dataValidation>
    <dataValidation type="list" allowBlank="1" showInputMessage="1" showErrorMessage="1" sqref="B8:B1038" xr:uid="{00000000-0002-0000-0500-000008000000}">
      <formula1>"Residential Areas,Hostels,Academic Area,Health Centre,Schools,Visitor's Hostel,Servant's Quarters,Shops/Bank/PO,Lawns and Horticulture,Dhobhighat,Others"</formula1>
      <formula2>0</formula2>
    </dataValidation>
    <dataValidation type="list" allowBlank="1" showInputMessage="1" showErrorMessage="1" sqref="I8:I1038" xr:uid="{00000000-0002-0000-0500-000009000000}">
      <formula1>INDIRECT((H8))</formula1>
      <formula2>0</formula2>
    </dataValidation>
    <dataValidation type="list" allowBlank="1" showInputMessage="1" showErrorMessage="1" error="Entered value should be a positive number." sqref="J8:J1038" xr:uid="{00000000-0002-0000-0500-00000A000000}">
      <formula1>INDIRECT(SUBSTITUTE(I8," ","_"))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9"/>
  <sheetViews>
    <sheetView topLeftCell="C1" zoomScale="85" zoomScaleNormal="85" workbookViewId="0">
      <pane ySplit="7" topLeftCell="C29" activePane="bottomLeft" state="frozen"/>
      <selection activeCell="C1" sqref="C1"/>
      <selection pane="bottomLeft" activeCell="C1" sqref="C1"/>
    </sheetView>
  </sheetViews>
  <sheetFormatPr defaultColWidth="8.7421875" defaultRowHeight="15" x14ac:dyDescent="0.2"/>
  <cols>
    <col min="1" max="1" width="25.9609375" customWidth="1"/>
    <col min="2" max="8" width="34.03125" customWidth="1"/>
  </cols>
  <sheetData>
    <row r="1" spans="1:8" ht="14.25" customHeight="1" x14ac:dyDescent="0.2">
      <c r="A1" s="1"/>
      <c r="B1" s="1" t="s">
        <v>0</v>
      </c>
      <c r="C1" s="1"/>
      <c r="D1" s="16"/>
      <c r="E1" s="2"/>
      <c r="F1" s="2"/>
      <c r="G1" s="2"/>
      <c r="H1" s="2"/>
    </row>
    <row r="2" spans="1:8" ht="14.25" customHeight="1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ht="14.25" customHeight="1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ht="14.25" customHeight="1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ht="14.25" customHeight="1" x14ac:dyDescent="0.2">
      <c r="A5" s="6"/>
      <c r="B5" s="6" t="s">
        <v>46</v>
      </c>
      <c r="C5" s="6"/>
      <c r="D5" s="2"/>
      <c r="E5" s="2"/>
      <c r="F5" s="2"/>
      <c r="G5" s="2"/>
      <c r="H5" s="2"/>
    </row>
    <row r="6" spans="1:8" ht="42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127</v>
      </c>
      <c r="F6" s="8" t="s">
        <v>128</v>
      </c>
      <c r="G6" s="8" t="s">
        <v>129</v>
      </c>
      <c r="H6" s="8" t="s">
        <v>130</v>
      </c>
    </row>
    <row r="7" spans="1:8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131</v>
      </c>
      <c r="F7" s="10" t="s">
        <v>132</v>
      </c>
      <c r="G7" s="10" t="s">
        <v>133</v>
      </c>
      <c r="H7" s="10" t="s">
        <v>134</v>
      </c>
    </row>
    <row r="8" spans="1:8" ht="14.25" customHeight="1" x14ac:dyDescent="0.2">
      <c r="A8" s="11">
        <v>1</v>
      </c>
      <c r="B8" s="12" t="s">
        <v>37</v>
      </c>
      <c r="C8" s="11">
        <v>2022</v>
      </c>
      <c r="D8" s="13" t="s">
        <v>27</v>
      </c>
      <c r="E8" s="14">
        <v>128</v>
      </c>
      <c r="F8" s="14">
        <v>1.7100000000000001E-2</v>
      </c>
      <c r="G8" s="14">
        <v>2.63E-2</v>
      </c>
      <c r="H8" s="14">
        <v>1.9E-3</v>
      </c>
    </row>
    <row r="9" spans="1:8" ht="14.25" customHeight="1" x14ac:dyDescent="0.2">
      <c r="A9" s="11">
        <v>2</v>
      </c>
      <c r="B9" s="12" t="s">
        <v>37</v>
      </c>
      <c r="C9" s="11">
        <v>2024</v>
      </c>
      <c r="D9" s="13" t="s">
        <v>43</v>
      </c>
      <c r="E9" s="14">
        <v>197</v>
      </c>
      <c r="F9" s="14">
        <v>2.2800000000000001E-2</v>
      </c>
      <c r="G9" s="14">
        <v>5.0000000000000001E-3</v>
      </c>
      <c r="H9" s="14">
        <v>2.8E-3</v>
      </c>
    </row>
    <row r="10" spans="1:8" ht="14.25" customHeight="1" x14ac:dyDescent="0.2">
      <c r="A10" s="11">
        <v>3</v>
      </c>
      <c r="B10" s="12" t="s">
        <v>44</v>
      </c>
      <c r="C10" s="11">
        <v>2024</v>
      </c>
      <c r="D10" s="13" t="s">
        <v>24</v>
      </c>
      <c r="E10" s="14">
        <v>220</v>
      </c>
      <c r="F10" s="14">
        <v>4.0500000000000001E-2</v>
      </c>
      <c r="G10" s="14">
        <v>2.4E-2</v>
      </c>
      <c r="H10" s="14">
        <v>4.7999999999999996E-3</v>
      </c>
    </row>
    <row r="11" spans="1:8" ht="14.25" customHeight="1" x14ac:dyDescent="0.2">
      <c r="A11" s="11">
        <v>4</v>
      </c>
      <c r="B11" s="12" t="s">
        <v>26</v>
      </c>
      <c r="C11" s="11">
        <v>2022</v>
      </c>
      <c r="D11" s="13" t="s">
        <v>55</v>
      </c>
      <c r="E11" s="14">
        <v>378</v>
      </c>
      <c r="F11" s="14">
        <v>5.7999999999999996E-3</v>
      </c>
      <c r="G11" s="14">
        <v>5.3E-3</v>
      </c>
      <c r="H11" s="14">
        <v>2.5000000000000001E-3</v>
      </c>
    </row>
    <row r="12" spans="1:8" ht="14.25" customHeight="1" x14ac:dyDescent="0.2">
      <c r="A12" s="11">
        <v>5</v>
      </c>
      <c r="B12" s="12" t="s">
        <v>26</v>
      </c>
      <c r="C12" s="11">
        <v>2024</v>
      </c>
      <c r="D12" s="13" t="s">
        <v>55</v>
      </c>
      <c r="E12" s="14">
        <v>173</v>
      </c>
      <c r="F12" s="14">
        <v>3.2899999999999999E-2</v>
      </c>
      <c r="G12" s="14">
        <v>2.18E-2</v>
      </c>
      <c r="H12" s="14">
        <v>1.4E-3</v>
      </c>
    </row>
    <row r="13" spans="1:8" ht="14.25" customHeight="1" x14ac:dyDescent="0.2">
      <c r="A13" s="11">
        <v>6</v>
      </c>
      <c r="B13" s="12" t="s">
        <v>39</v>
      </c>
      <c r="C13" s="11">
        <v>2022</v>
      </c>
      <c r="D13" s="13" t="s">
        <v>36</v>
      </c>
      <c r="E13" s="14">
        <v>61</v>
      </c>
      <c r="F13" s="14">
        <v>4.5999999999999999E-2</v>
      </c>
      <c r="G13" s="14">
        <v>1.1599999999999999E-2</v>
      </c>
      <c r="H13" s="14">
        <v>2.0999999999999999E-3</v>
      </c>
    </row>
    <row r="14" spans="1:8" ht="14.25" customHeight="1" x14ac:dyDescent="0.2">
      <c r="A14" s="11">
        <v>7</v>
      </c>
      <c r="B14" s="12" t="s">
        <v>19</v>
      </c>
      <c r="C14" s="11">
        <v>2024</v>
      </c>
      <c r="D14" s="13" t="s">
        <v>24</v>
      </c>
      <c r="E14" s="14">
        <v>391</v>
      </c>
      <c r="F14" s="14">
        <v>4.48E-2</v>
      </c>
      <c r="G14" s="14">
        <v>1.38E-2</v>
      </c>
      <c r="H14" s="14">
        <v>4.0000000000000001E-3</v>
      </c>
    </row>
    <row r="15" spans="1:8" ht="14.25" customHeight="1" x14ac:dyDescent="0.2">
      <c r="A15" s="11">
        <v>8</v>
      </c>
      <c r="B15" s="12" t="s">
        <v>34</v>
      </c>
      <c r="C15" s="11">
        <v>2022</v>
      </c>
      <c r="D15" s="13" t="s">
        <v>33</v>
      </c>
      <c r="E15" s="14">
        <v>111</v>
      </c>
      <c r="F15" s="14">
        <v>1.6999999999999999E-3</v>
      </c>
      <c r="G15" s="14">
        <v>1.1299999999999999E-2</v>
      </c>
      <c r="H15" s="14">
        <v>2.0999999999999999E-3</v>
      </c>
    </row>
    <row r="16" spans="1:8" ht="14.25" customHeight="1" x14ac:dyDescent="0.2">
      <c r="A16" s="11">
        <v>9</v>
      </c>
      <c r="B16" s="12" t="s">
        <v>39</v>
      </c>
      <c r="C16" s="11">
        <v>2022</v>
      </c>
      <c r="D16" s="13" t="s">
        <v>24</v>
      </c>
      <c r="E16" s="14">
        <v>396</v>
      </c>
      <c r="F16" s="14">
        <v>1.14E-2</v>
      </c>
      <c r="G16" s="14">
        <v>2.7099999999999999E-2</v>
      </c>
      <c r="H16" s="14">
        <v>1.2999999999999999E-3</v>
      </c>
    </row>
    <row r="17" spans="1:8" ht="14.25" customHeight="1" x14ac:dyDescent="0.2">
      <c r="A17" s="11">
        <v>10</v>
      </c>
      <c r="B17" s="12" t="s">
        <v>34</v>
      </c>
      <c r="C17" s="11">
        <v>2022</v>
      </c>
      <c r="D17" s="13" t="s">
        <v>36</v>
      </c>
      <c r="E17" s="14">
        <v>446</v>
      </c>
      <c r="F17" s="14">
        <v>4.7800000000000002E-2</v>
      </c>
      <c r="G17" s="14">
        <v>1.2500000000000001E-2</v>
      </c>
      <c r="H17" s="14">
        <v>4.0000000000000001E-3</v>
      </c>
    </row>
    <row r="18" spans="1:8" ht="14.25" customHeight="1" x14ac:dyDescent="0.2">
      <c r="A18" s="11">
        <v>11</v>
      </c>
      <c r="B18" s="12" t="s">
        <v>32</v>
      </c>
      <c r="C18" s="11">
        <v>2022</v>
      </c>
      <c r="D18" s="13" t="s">
        <v>36</v>
      </c>
      <c r="E18" s="14">
        <v>61</v>
      </c>
      <c r="F18" s="14">
        <v>2.35E-2</v>
      </c>
      <c r="G18" s="14">
        <v>2.0199999999999999E-2</v>
      </c>
      <c r="H18" s="14">
        <v>1.6000000000000001E-3</v>
      </c>
    </row>
    <row r="19" spans="1:8" ht="14.25" customHeight="1" x14ac:dyDescent="0.2">
      <c r="A19" s="11">
        <v>12</v>
      </c>
      <c r="B19" s="12" t="s">
        <v>26</v>
      </c>
      <c r="C19" s="11">
        <v>2024</v>
      </c>
      <c r="D19" s="13" t="s">
        <v>43</v>
      </c>
      <c r="E19" s="14">
        <v>403</v>
      </c>
      <c r="F19" s="14">
        <v>8.8999999999999999E-3</v>
      </c>
      <c r="G19" s="14">
        <v>1.5299999999999999E-2</v>
      </c>
      <c r="H19" s="14">
        <v>1.6000000000000001E-3</v>
      </c>
    </row>
    <row r="20" spans="1:8" ht="14.25" customHeight="1" x14ac:dyDescent="0.2">
      <c r="A20" s="11">
        <v>13</v>
      </c>
      <c r="B20" s="12" t="s">
        <v>56</v>
      </c>
      <c r="C20" s="11">
        <v>2022</v>
      </c>
      <c r="D20" s="13" t="s">
        <v>20</v>
      </c>
      <c r="E20" s="14">
        <v>418</v>
      </c>
      <c r="F20" s="14">
        <v>3.5099999999999999E-2</v>
      </c>
      <c r="G20" s="14">
        <v>1.0500000000000001E-2</v>
      </c>
      <c r="H20" s="14">
        <v>8.9999999999999998E-4</v>
      </c>
    </row>
    <row r="21" spans="1:8" ht="14.25" customHeight="1" x14ac:dyDescent="0.2">
      <c r="A21" s="11">
        <v>14</v>
      </c>
      <c r="B21" s="12" t="s">
        <v>19</v>
      </c>
      <c r="C21" s="11">
        <v>2023</v>
      </c>
      <c r="D21" s="13" t="s">
        <v>35</v>
      </c>
      <c r="E21" s="14">
        <v>76</v>
      </c>
      <c r="F21" s="14">
        <v>3.09E-2</v>
      </c>
      <c r="G21" s="14">
        <v>1.37E-2</v>
      </c>
      <c r="H21" s="14">
        <v>1.8E-3</v>
      </c>
    </row>
    <row r="22" spans="1:8" ht="14.25" customHeight="1" x14ac:dyDescent="0.2">
      <c r="A22" s="11">
        <v>15</v>
      </c>
      <c r="B22" s="12" t="s">
        <v>23</v>
      </c>
      <c r="C22" s="11">
        <v>2022</v>
      </c>
      <c r="D22" s="13" t="s">
        <v>24</v>
      </c>
      <c r="E22" s="14">
        <v>325</v>
      </c>
      <c r="F22" s="14">
        <v>2.2700000000000001E-2</v>
      </c>
      <c r="G22" s="14">
        <v>1.03E-2</v>
      </c>
      <c r="H22" s="14">
        <v>4.4999999999999997E-3</v>
      </c>
    </row>
    <row r="23" spans="1:8" ht="14.25" customHeight="1" x14ac:dyDescent="0.2">
      <c r="A23" s="11">
        <v>16</v>
      </c>
      <c r="B23" s="12" t="s">
        <v>56</v>
      </c>
      <c r="C23" s="11">
        <v>2022</v>
      </c>
      <c r="D23" s="13" t="s">
        <v>24</v>
      </c>
      <c r="E23" s="14">
        <v>382</v>
      </c>
      <c r="F23" s="14">
        <v>1.2E-2</v>
      </c>
      <c r="G23" s="14">
        <v>2.7E-2</v>
      </c>
      <c r="H23" s="14">
        <v>4.3E-3</v>
      </c>
    </row>
    <row r="24" spans="1:8" ht="14.25" customHeight="1" x14ac:dyDescent="0.2">
      <c r="A24" s="11">
        <v>17</v>
      </c>
      <c r="B24" s="12" t="s">
        <v>37</v>
      </c>
      <c r="C24" s="11">
        <v>2022</v>
      </c>
      <c r="D24" s="13" t="s">
        <v>24</v>
      </c>
      <c r="E24" s="14">
        <v>483</v>
      </c>
      <c r="F24" s="14">
        <v>2.0799999999999999E-2</v>
      </c>
      <c r="G24" s="14">
        <v>5.5999999999999999E-3</v>
      </c>
      <c r="H24" s="14">
        <v>2.2000000000000001E-3</v>
      </c>
    </row>
    <row r="25" spans="1:8" ht="14.25" customHeight="1" x14ac:dyDescent="0.2">
      <c r="A25" s="11">
        <v>18</v>
      </c>
      <c r="B25" s="12" t="s">
        <v>29</v>
      </c>
      <c r="C25" s="11">
        <v>2023</v>
      </c>
      <c r="D25" s="13" t="s">
        <v>42</v>
      </c>
      <c r="E25" s="14">
        <v>460</v>
      </c>
      <c r="F25" s="14">
        <v>1.54E-2</v>
      </c>
      <c r="G25" s="14">
        <v>1.3599999999999999E-2</v>
      </c>
      <c r="H25" s="14">
        <v>3.8E-3</v>
      </c>
    </row>
    <row r="26" spans="1:8" ht="14.25" customHeight="1" x14ac:dyDescent="0.2">
      <c r="A26" s="11">
        <v>19</v>
      </c>
      <c r="B26" s="12" t="s">
        <v>34</v>
      </c>
      <c r="C26" s="11">
        <v>2022</v>
      </c>
      <c r="D26" s="13" t="s">
        <v>55</v>
      </c>
      <c r="E26" s="14">
        <v>223</v>
      </c>
      <c r="F26" s="14">
        <v>1.15E-2</v>
      </c>
      <c r="G26" s="14">
        <v>1.1000000000000001E-3</v>
      </c>
      <c r="H26" s="14">
        <v>2.2000000000000001E-3</v>
      </c>
    </row>
    <row r="27" spans="1:8" ht="14.25" customHeight="1" x14ac:dyDescent="0.2">
      <c r="A27" s="11">
        <v>20</v>
      </c>
      <c r="B27" s="12" t="s">
        <v>45</v>
      </c>
      <c r="C27" s="11">
        <v>2022</v>
      </c>
      <c r="D27" s="13" t="s">
        <v>20</v>
      </c>
      <c r="E27" s="14">
        <v>349</v>
      </c>
      <c r="F27" s="14">
        <v>2.4E-2</v>
      </c>
      <c r="G27" s="14">
        <v>1.2999999999999999E-2</v>
      </c>
      <c r="H27" s="14">
        <v>5.0000000000000001E-4</v>
      </c>
    </row>
    <row r="28" spans="1:8" ht="14.25" customHeight="1" x14ac:dyDescent="0.2">
      <c r="A28" s="11">
        <v>21</v>
      </c>
      <c r="B28" s="12" t="s">
        <v>56</v>
      </c>
      <c r="C28" s="11">
        <v>2024</v>
      </c>
      <c r="D28" s="13" t="s">
        <v>42</v>
      </c>
      <c r="E28" s="14">
        <v>194</v>
      </c>
      <c r="F28" s="14">
        <v>1.0999999999999999E-2</v>
      </c>
      <c r="G28" s="14">
        <v>3.5999999999999999E-3</v>
      </c>
      <c r="H28" s="14">
        <v>2.3E-3</v>
      </c>
    </row>
    <row r="29" spans="1:8" ht="14.25" customHeight="1" x14ac:dyDescent="0.2">
      <c r="A29" s="11">
        <v>22</v>
      </c>
      <c r="B29" s="12" t="s">
        <v>26</v>
      </c>
      <c r="C29" s="11">
        <v>2023</v>
      </c>
      <c r="D29" s="13" t="s">
        <v>42</v>
      </c>
      <c r="E29" s="14">
        <v>350</v>
      </c>
      <c r="F29" s="14">
        <v>1.7999999999999999E-2</v>
      </c>
      <c r="G29" s="14">
        <v>1.54E-2</v>
      </c>
      <c r="H29" s="14">
        <v>3.8999999999999998E-3</v>
      </c>
    </row>
    <row r="30" spans="1:8" ht="14.25" customHeight="1" x14ac:dyDescent="0.2">
      <c r="A30" s="11">
        <v>23</v>
      </c>
      <c r="B30" s="12" t="s">
        <v>23</v>
      </c>
      <c r="C30" s="11">
        <v>2024</v>
      </c>
      <c r="D30" s="13" t="s">
        <v>30</v>
      </c>
      <c r="E30" s="14">
        <v>164</v>
      </c>
      <c r="F30" s="14">
        <v>2.5700000000000001E-2</v>
      </c>
      <c r="G30" s="14">
        <v>7.4999999999999997E-3</v>
      </c>
      <c r="H30" s="14">
        <v>3.5999999999999999E-3</v>
      </c>
    </row>
    <row r="31" spans="1:8" ht="14.25" customHeight="1" x14ac:dyDescent="0.2">
      <c r="A31" s="11">
        <v>24</v>
      </c>
      <c r="B31" s="12" t="s">
        <v>23</v>
      </c>
      <c r="C31" s="11">
        <v>2024</v>
      </c>
      <c r="D31" s="13" t="s">
        <v>33</v>
      </c>
      <c r="E31" s="14">
        <v>438</v>
      </c>
      <c r="F31" s="14">
        <v>6.0000000000000001E-3</v>
      </c>
      <c r="G31" s="14">
        <v>1.6999999999999999E-3</v>
      </c>
      <c r="H31" s="14">
        <v>1.9E-3</v>
      </c>
    </row>
    <row r="32" spans="1:8" ht="14.25" customHeight="1" x14ac:dyDescent="0.2">
      <c r="A32" s="11">
        <v>25</v>
      </c>
      <c r="B32" s="12" t="s">
        <v>26</v>
      </c>
      <c r="C32" s="11">
        <v>2023</v>
      </c>
      <c r="D32" s="13" t="s">
        <v>55</v>
      </c>
      <c r="E32" s="14">
        <v>65</v>
      </c>
      <c r="F32" s="14">
        <v>3.95E-2</v>
      </c>
      <c r="G32" s="14">
        <v>2.1299999999999999E-2</v>
      </c>
      <c r="H32" s="14">
        <v>5.9999999999999995E-4</v>
      </c>
    </row>
    <row r="33" spans="1:8" ht="14.25" customHeight="1" x14ac:dyDescent="0.2">
      <c r="A33" s="11">
        <v>26</v>
      </c>
      <c r="B33" s="12" t="s">
        <v>39</v>
      </c>
      <c r="C33" s="11">
        <v>2024</v>
      </c>
      <c r="D33" s="13" t="s">
        <v>55</v>
      </c>
      <c r="E33" s="14">
        <v>105</v>
      </c>
      <c r="F33" s="14">
        <v>1.5E-3</v>
      </c>
      <c r="G33" s="14">
        <v>2E-3</v>
      </c>
      <c r="H33" s="14">
        <v>4.1000000000000003E-3</v>
      </c>
    </row>
    <row r="34" spans="1:8" ht="14.25" customHeight="1" x14ac:dyDescent="0.2">
      <c r="A34" s="11">
        <v>27</v>
      </c>
      <c r="B34" s="12" t="s">
        <v>45</v>
      </c>
      <c r="C34" s="11">
        <v>2023</v>
      </c>
      <c r="D34" s="13" t="s">
        <v>36</v>
      </c>
      <c r="E34" s="14">
        <v>361</v>
      </c>
      <c r="F34" s="14">
        <v>2.9700000000000001E-2</v>
      </c>
      <c r="G34" s="14">
        <v>1.4999999999999999E-2</v>
      </c>
      <c r="H34" s="14">
        <v>1.1000000000000001E-3</v>
      </c>
    </row>
    <row r="35" spans="1:8" ht="14.25" customHeight="1" x14ac:dyDescent="0.2">
      <c r="A35" s="11">
        <v>28</v>
      </c>
      <c r="B35" s="12" t="s">
        <v>37</v>
      </c>
      <c r="C35" s="11">
        <v>2022</v>
      </c>
      <c r="D35" s="13" t="s">
        <v>33</v>
      </c>
      <c r="E35" s="14">
        <v>323</v>
      </c>
      <c r="F35" s="14">
        <v>1.9699999999999999E-2</v>
      </c>
      <c r="G35" s="14">
        <v>2.87E-2</v>
      </c>
      <c r="H35" s="14">
        <v>2.3E-3</v>
      </c>
    </row>
    <row r="36" spans="1:8" ht="14.25" customHeight="1" x14ac:dyDescent="0.2">
      <c r="A36" s="11">
        <v>29</v>
      </c>
      <c r="B36" s="12" t="s">
        <v>29</v>
      </c>
      <c r="C36" s="11">
        <v>2022</v>
      </c>
      <c r="D36" s="13" t="s">
        <v>33</v>
      </c>
      <c r="E36" s="14">
        <v>128</v>
      </c>
      <c r="F36" s="14">
        <v>2.7900000000000001E-2</v>
      </c>
      <c r="G36" s="14">
        <v>1.38E-2</v>
      </c>
      <c r="H36" s="14">
        <v>4.1000000000000003E-3</v>
      </c>
    </row>
    <row r="37" spans="1:8" ht="14.25" customHeight="1" x14ac:dyDescent="0.2">
      <c r="A37" s="11">
        <v>30</v>
      </c>
      <c r="B37" s="12" t="s">
        <v>23</v>
      </c>
      <c r="C37" s="11">
        <v>2022</v>
      </c>
      <c r="D37" s="13" t="s">
        <v>43</v>
      </c>
      <c r="E37" s="14">
        <v>218</v>
      </c>
      <c r="F37" s="14">
        <v>1.15E-2</v>
      </c>
      <c r="G37" s="14">
        <v>2.86E-2</v>
      </c>
      <c r="H37" s="14">
        <v>1.2999999999999999E-3</v>
      </c>
    </row>
    <row r="38" spans="1:8" ht="14.25" customHeight="1" x14ac:dyDescent="0.2">
      <c r="A38" s="11">
        <v>31</v>
      </c>
      <c r="B38" s="12" t="s">
        <v>37</v>
      </c>
      <c r="C38" s="11">
        <v>2023</v>
      </c>
      <c r="D38" s="13" t="s">
        <v>43</v>
      </c>
      <c r="E38" s="14">
        <v>27</v>
      </c>
      <c r="F38" s="14">
        <v>2.6599999999999999E-2</v>
      </c>
      <c r="G38" s="14">
        <v>1.26E-2</v>
      </c>
      <c r="H38" s="14">
        <v>1.4E-3</v>
      </c>
    </row>
    <row r="39" spans="1:8" ht="14.25" customHeight="1" x14ac:dyDescent="0.2">
      <c r="A39" s="15"/>
      <c r="B39" s="15"/>
      <c r="C39" s="15"/>
      <c r="D39" s="15"/>
      <c r="E39" s="15"/>
      <c r="F39" s="15"/>
      <c r="G39" s="15"/>
      <c r="H39" s="15"/>
    </row>
  </sheetData>
  <dataValidations count="6">
    <dataValidation type="whole" operator="greaterThan" allowBlank="1" showInputMessage="1" showErrorMessage="1" sqref="A8:A38" xr:uid="{00000000-0002-0000-0600-000000000000}">
      <formula1>0</formula1>
      <formula2>0</formula2>
    </dataValidation>
    <dataValidation type="whole" allowBlank="1" showInputMessage="1" showErrorMessage="1" error="Enter a valid year out of 2022 or 2023" sqref="C8:C1038" xr:uid="{00000000-0002-0000-0600-000001000000}">
      <formula1>2022</formula1>
      <formula2>2023</formula2>
    </dataValidation>
    <dataValidation type="custom" allowBlank="1" showInputMessage="1" showErrorMessage="1" error="Entered value should be a positive number." sqref="H8:H38" xr:uid="{00000000-0002-0000-0600-000002000000}">
      <formula1>ISNUMBER(H8)</formula1>
      <formula2>0</formula2>
    </dataValidation>
    <dataValidation type="list" operator="greaterThan" allowBlank="1" showInputMessage="1" showErrorMessage="1" error="Enter a valid date." sqref="D8:D38" xr:uid="{00000000-0002-0000-0600-000003000000}">
      <formula1>"January,February,March,April,May,June,July,August,September,October,November,December"</formula1>
      <formula2>0</formula2>
    </dataValidation>
    <dataValidation type="custom" allowBlank="1" showInputMessage="1" showErrorMessage="1" sqref="E8:G1038" xr:uid="{00000000-0002-0000-0600-000004000000}">
      <formula1>ISNUMBER(E8)</formula1>
      <formula2>0</formula2>
    </dataValidation>
    <dataValidation type="list" allowBlank="1" showInputMessage="1" showErrorMessage="1" sqref="B8:B1038" xr:uid="{00000000-0002-0000-0600-000005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Normal="100" workbookViewId="0">
      <pane ySplit="7" topLeftCell="A8" activePane="bottomLeft" state="frozen"/>
      <selection pane="bottomLeft"/>
    </sheetView>
  </sheetViews>
  <sheetFormatPr defaultColWidth="8.7421875" defaultRowHeight="15" x14ac:dyDescent="0.2"/>
  <cols>
    <col min="1" max="1" width="25.9609375" customWidth="1"/>
    <col min="2" max="5" width="34.03125" customWidth="1"/>
    <col min="6" max="6" width="27.0390625" customWidth="1"/>
    <col min="7" max="7" width="25.01953125" customWidth="1"/>
    <col min="8" max="10" width="34.03125" customWidth="1"/>
    <col min="13" max="13" width="32.015625" customWidth="1"/>
    <col min="14" max="14" width="23.9453125" customWidth="1"/>
  </cols>
  <sheetData>
    <row r="1" spans="1:14" ht="15" customHeight="1" x14ac:dyDescent="0.2">
      <c r="A1" s="1"/>
      <c r="B1" s="1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0"/>
      <c r="M1" s="20"/>
      <c r="N1" s="20"/>
    </row>
    <row r="2" spans="1:14" ht="15" customHeight="1" x14ac:dyDescent="0.2">
      <c r="A2" s="3"/>
      <c r="B2" s="3" t="s">
        <v>1</v>
      </c>
      <c r="C2" s="19"/>
      <c r="D2" s="19"/>
      <c r="E2" s="19"/>
      <c r="F2" s="19"/>
      <c r="G2" s="19"/>
      <c r="H2" s="19"/>
      <c r="I2" s="19"/>
      <c r="J2" s="19"/>
      <c r="K2" s="20"/>
      <c r="L2" s="20"/>
      <c r="M2" s="20"/>
      <c r="N2" s="20"/>
    </row>
    <row r="3" spans="1:14" ht="15" customHeight="1" x14ac:dyDescent="0.2">
      <c r="A3" s="4"/>
      <c r="B3" s="4" t="s">
        <v>2</v>
      </c>
      <c r="C3" s="19"/>
      <c r="D3" s="19"/>
      <c r="E3" s="19"/>
      <c r="F3" s="19"/>
      <c r="G3" s="19"/>
      <c r="H3" s="19"/>
      <c r="I3" s="19"/>
      <c r="J3" s="19"/>
      <c r="K3" s="20"/>
      <c r="L3" s="20"/>
      <c r="M3" s="20"/>
      <c r="N3" s="20"/>
    </row>
    <row r="4" spans="1:14" ht="15" customHeight="1" x14ac:dyDescent="0.2">
      <c r="A4" s="5"/>
      <c r="B4" s="5" t="s">
        <v>3</v>
      </c>
      <c r="C4" s="19"/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</row>
    <row r="5" spans="1:14" ht="15" customHeight="1" x14ac:dyDescent="0.2">
      <c r="A5" s="6"/>
      <c r="B5" s="6" t="s">
        <v>46</v>
      </c>
      <c r="C5" s="19"/>
      <c r="D5" s="19"/>
      <c r="E5" s="19"/>
      <c r="F5" s="19"/>
      <c r="G5" s="19"/>
      <c r="H5" s="19"/>
      <c r="I5" s="19"/>
      <c r="J5" s="19"/>
      <c r="K5" s="20"/>
      <c r="L5" s="20"/>
      <c r="M5" s="20"/>
      <c r="N5" s="20"/>
    </row>
    <row r="6" spans="1:14" ht="30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135</v>
      </c>
      <c r="F6" s="8" t="s">
        <v>136</v>
      </c>
      <c r="G6" s="8" t="s">
        <v>137</v>
      </c>
      <c r="H6" s="8" t="s">
        <v>138</v>
      </c>
      <c r="I6" s="8" t="s">
        <v>139</v>
      </c>
      <c r="J6" s="8" t="s">
        <v>140</v>
      </c>
      <c r="K6" s="20"/>
      <c r="L6" s="20"/>
      <c r="M6" s="21" t="s">
        <v>141</v>
      </c>
      <c r="N6" s="22" t="s">
        <v>142</v>
      </c>
    </row>
    <row r="7" spans="1:14" ht="19.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141</v>
      </c>
      <c r="F7" s="10" t="s">
        <v>17</v>
      </c>
      <c r="G7" s="10" t="s">
        <v>143</v>
      </c>
      <c r="H7" s="10" t="s">
        <v>144</v>
      </c>
      <c r="I7" s="10" t="s">
        <v>145</v>
      </c>
      <c r="J7" s="10" t="s">
        <v>146</v>
      </c>
      <c r="K7" s="20"/>
      <c r="L7" s="20"/>
      <c r="M7" s="23" t="s">
        <v>147</v>
      </c>
      <c r="N7" s="24">
        <v>8.5</v>
      </c>
    </row>
    <row r="8" spans="1:14" ht="15" customHeight="1" x14ac:dyDescent="0.2">
      <c r="A8" s="25">
        <v>1</v>
      </c>
      <c r="B8" s="26" t="s">
        <v>56</v>
      </c>
      <c r="C8" s="25">
        <v>2022</v>
      </c>
      <c r="D8" s="27" t="s">
        <v>42</v>
      </c>
      <c r="E8" s="26" t="s">
        <v>148</v>
      </c>
      <c r="F8" s="26" t="s">
        <v>149</v>
      </c>
      <c r="G8" s="28">
        <v>1398</v>
      </c>
      <c r="H8" s="29">
        <f>IFERROR(INDEX($N$7:$N$16,MATCH(E8,$M$7:$M$16,0)),"")</f>
        <v>18</v>
      </c>
      <c r="I8" s="29">
        <f>IF(OR(G8="",H8=""),"",G8*H8)</f>
        <v>25164</v>
      </c>
      <c r="J8" s="29">
        <f>IF(I8="","",I8/1000)</f>
        <v>25.164000000000001</v>
      </c>
      <c r="K8" s="20"/>
      <c r="L8" s="20"/>
      <c r="M8" s="23" t="s">
        <v>150</v>
      </c>
      <c r="N8" s="24">
        <v>12</v>
      </c>
    </row>
    <row r="9" spans="1:14" ht="15" customHeight="1" x14ac:dyDescent="0.2">
      <c r="A9" s="25">
        <v>2</v>
      </c>
      <c r="B9" s="26" t="s">
        <v>37</v>
      </c>
      <c r="C9" s="25">
        <v>2023</v>
      </c>
      <c r="D9" s="27" t="s">
        <v>55</v>
      </c>
      <c r="E9" s="26" t="s">
        <v>147</v>
      </c>
      <c r="F9" s="26" t="s">
        <v>149</v>
      </c>
      <c r="G9" s="28">
        <v>130</v>
      </c>
      <c r="H9" s="29">
        <f>IFERROR(INDEX($N$7:$N$16,MATCH(E9,$M$7:$M$16,0)),"")</f>
        <v>8.5</v>
      </c>
      <c r="I9" s="29">
        <f>IF(OR(G9="",H9=""),"",G9*H9)</f>
        <v>1105</v>
      </c>
      <c r="J9" s="29">
        <f>IF(I9="","",I9/1000)</f>
        <v>1.105</v>
      </c>
      <c r="K9" s="20"/>
      <c r="L9" s="20"/>
      <c r="M9" s="23" t="s">
        <v>151</v>
      </c>
      <c r="N9" s="24">
        <v>15.5</v>
      </c>
    </row>
    <row r="10" spans="1:14" ht="15" customHeight="1" x14ac:dyDescent="0.2">
      <c r="A10" s="25">
        <v>3</v>
      </c>
      <c r="B10" s="26" t="s">
        <v>29</v>
      </c>
      <c r="C10" s="25">
        <v>2023</v>
      </c>
      <c r="D10" s="27" t="s">
        <v>35</v>
      </c>
      <c r="E10" s="26" t="s">
        <v>152</v>
      </c>
      <c r="F10" s="26" t="s">
        <v>149</v>
      </c>
      <c r="G10" s="28">
        <v>1121</v>
      </c>
      <c r="H10" s="29">
        <f>IFERROR(INDEX($N$7:$N$16,MATCH(E10,$M$7:$M$16,0)),"")</f>
        <v>9.5</v>
      </c>
      <c r="I10" s="29">
        <f>IF(OR(G10="",H10=""),"",G10*H10)</f>
        <v>10649.5</v>
      </c>
      <c r="J10" s="29">
        <f>IF(I10="","",I10/1000)</f>
        <v>10.6495</v>
      </c>
      <c r="K10" s="20"/>
      <c r="L10" s="20"/>
      <c r="M10" s="23" t="s">
        <v>153</v>
      </c>
      <c r="N10" s="24">
        <v>10</v>
      </c>
    </row>
    <row r="11" spans="1:14" ht="15" customHeight="1" x14ac:dyDescent="0.2">
      <c r="A11" s="25">
        <v>4</v>
      </c>
      <c r="B11" s="26" t="s">
        <v>37</v>
      </c>
      <c r="C11" s="25">
        <v>2023</v>
      </c>
      <c r="D11" s="27" t="s">
        <v>24</v>
      </c>
      <c r="E11" s="26" t="s">
        <v>154</v>
      </c>
      <c r="F11" s="26" t="s">
        <v>149</v>
      </c>
      <c r="G11" s="28">
        <v>79</v>
      </c>
      <c r="H11" s="29">
        <f>IFERROR(INDEX($N$7:$N$16,MATCH(E11,$M$7:$M$16,0)),"")</f>
        <v>6.5</v>
      </c>
      <c r="I11" s="29">
        <f>IF(OR(G11="",H11=""),"",G11*H11)</f>
        <v>513.5</v>
      </c>
      <c r="J11" s="29">
        <f>IF(I11="","",I11/1000)</f>
        <v>0.51349999999999996</v>
      </c>
      <c r="K11" s="20"/>
      <c r="L11" s="20"/>
      <c r="M11" s="23" t="s">
        <v>152</v>
      </c>
      <c r="N11" s="24">
        <v>9.5</v>
      </c>
    </row>
    <row r="12" spans="1:14" ht="15" customHeight="1" x14ac:dyDescent="0.2">
      <c r="A12" s="25">
        <v>5</v>
      </c>
      <c r="B12" s="26" t="s">
        <v>23</v>
      </c>
      <c r="C12" s="25">
        <v>2024</v>
      </c>
      <c r="D12" s="27" t="s">
        <v>24</v>
      </c>
      <c r="E12" s="26" t="s">
        <v>155</v>
      </c>
      <c r="F12" s="26" t="s">
        <v>149</v>
      </c>
      <c r="G12" s="28">
        <v>965</v>
      </c>
      <c r="H12" s="29">
        <f>IFERROR(INDEX($N$7:$N$16,MATCH(E12,$M$7:$M$16,0)),"")</f>
        <v>3</v>
      </c>
      <c r="I12" s="29">
        <f>IF(OR(G12="",H12=""),"",G12*H12)</f>
        <v>2895</v>
      </c>
      <c r="J12" s="29">
        <f>IF(I12="","",I12/1000)</f>
        <v>2.895</v>
      </c>
      <c r="K12" s="20"/>
      <c r="L12" s="20"/>
      <c r="M12" s="23" t="s">
        <v>156</v>
      </c>
      <c r="N12" s="24">
        <v>11</v>
      </c>
    </row>
    <row r="13" spans="1:14" ht="15" customHeight="1" x14ac:dyDescent="0.2">
      <c r="A13" s="25">
        <v>6</v>
      </c>
      <c r="B13" s="26" t="s">
        <v>56</v>
      </c>
      <c r="C13" s="25">
        <v>2023</v>
      </c>
      <c r="D13" s="27" t="s">
        <v>35</v>
      </c>
      <c r="E13" s="26" t="s">
        <v>156</v>
      </c>
      <c r="F13" s="26" t="s">
        <v>149</v>
      </c>
      <c r="G13" s="28">
        <v>679</v>
      </c>
      <c r="H13" s="29">
        <f>IFERROR(INDEX($N$7:$N$16,MATCH(E13,$M$7:$M$16,0)),"")</f>
        <v>11</v>
      </c>
      <c r="I13" s="29">
        <f>IF(OR(G13="",H13=""),"",G13*H13)</f>
        <v>7469</v>
      </c>
      <c r="J13" s="29">
        <f>IF(I13="","",I13/1000)</f>
        <v>7.4690000000000003</v>
      </c>
      <c r="K13" s="20"/>
      <c r="L13" s="20"/>
      <c r="M13" s="23" t="s">
        <v>148</v>
      </c>
      <c r="N13" s="24">
        <v>18</v>
      </c>
    </row>
    <row r="14" spans="1:14" ht="15" customHeight="1" x14ac:dyDescent="0.2">
      <c r="A14" s="25">
        <v>7</v>
      </c>
      <c r="B14" s="26" t="s">
        <v>44</v>
      </c>
      <c r="C14" s="25">
        <v>2022</v>
      </c>
      <c r="D14" s="27" t="s">
        <v>55</v>
      </c>
      <c r="E14" s="26" t="s">
        <v>156</v>
      </c>
      <c r="F14" s="26" t="s">
        <v>149</v>
      </c>
      <c r="G14" s="28">
        <v>279</v>
      </c>
      <c r="H14" s="29">
        <f>IFERROR(INDEX($N$7:$N$16,MATCH(E14,$M$7:$M$16,0)),"")</f>
        <v>11</v>
      </c>
      <c r="I14" s="29">
        <f>IF(OR(G14="",H14=""),"",G14*H14)</f>
        <v>3069</v>
      </c>
      <c r="J14" s="29">
        <f>IF(I14="","",I14/1000)</f>
        <v>3.069</v>
      </c>
      <c r="K14" s="20"/>
      <c r="L14" s="20"/>
      <c r="M14" s="23" t="s">
        <v>157</v>
      </c>
      <c r="N14" s="24">
        <v>14</v>
      </c>
    </row>
    <row r="15" spans="1:14" ht="15" customHeight="1" x14ac:dyDescent="0.2">
      <c r="A15" s="25">
        <v>8</v>
      </c>
      <c r="B15" s="26" t="s">
        <v>29</v>
      </c>
      <c r="C15" s="25">
        <v>2024</v>
      </c>
      <c r="D15" s="27" t="s">
        <v>36</v>
      </c>
      <c r="E15" s="26" t="s">
        <v>150</v>
      </c>
      <c r="F15" s="26" t="s">
        <v>149</v>
      </c>
      <c r="G15" s="28">
        <v>886</v>
      </c>
      <c r="H15" s="29">
        <f>IFERROR(INDEX($N$7:$N$16,MATCH(E15,$M$7:$M$16,0)),"")</f>
        <v>12</v>
      </c>
      <c r="I15" s="29">
        <f>IF(OR(G15="",H15=""),"",G15*H15)</f>
        <v>10632</v>
      </c>
      <c r="J15" s="29">
        <f>IF(I15="","",I15/1000)</f>
        <v>10.632</v>
      </c>
      <c r="K15" s="20"/>
      <c r="L15" s="20"/>
      <c r="M15" s="23" t="s">
        <v>155</v>
      </c>
      <c r="N15" s="24">
        <v>3</v>
      </c>
    </row>
    <row r="16" spans="1:14" ht="15" customHeight="1" x14ac:dyDescent="0.2">
      <c r="A16" s="25">
        <v>9</v>
      </c>
      <c r="B16" s="26" t="s">
        <v>23</v>
      </c>
      <c r="C16" s="25">
        <v>2022</v>
      </c>
      <c r="D16" s="27" t="s">
        <v>24</v>
      </c>
      <c r="E16" s="26" t="s">
        <v>147</v>
      </c>
      <c r="F16" s="26" t="s">
        <v>149</v>
      </c>
      <c r="G16" s="28">
        <v>1370</v>
      </c>
      <c r="H16" s="29">
        <f>IFERROR(INDEX($N$7:$N$16,MATCH(E16,$M$7:$M$16,0)),"")</f>
        <v>8.5</v>
      </c>
      <c r="I16" s="29">
        <f>IF(OR(G16="",H16=""),"",G16*H16)</f>
        <v>11645</v>
      </c>
      <c r="J16" s="29">
        <f>IF(I16="","",I16/1000)</f>
        <v>11.645</v>
      </c>
      <c r="K16" s="20"/>
      <c r="L16" s="20"/>
      <c r="M16" s="23" t="s">
        <v>154</v>
      </c>
      <c r="N16" s="24">
        <v>6.5</v>
      </c>
    </row>
    <row r="17" spans="1:14" ht="15" customHeight="1" x14ac:dyDescent="0.2">
      <c r="A17" s="25">
        <v>10</v>
      </c>
      <c r="B17" s="26" t="s">
        <v>29</v>
      </c>
      <c r="C17" s="25">
        <v>2023</v>
      </c>
      <c r="D17" s="27" t="s">
        <v>35</v>
      </c>
      <c r="E17" s="26" t="s">
        <v>156</v>
      </c>
      <c r="F17" s="26" t="s">
        <v>149</v>
      </c>
      <c r="G17" s="28">
        <v>334</v>
      </c>
      <c r="H17" s="29">
        <f>IFERROR(INDEX($N$7:$N$16,MATCH(E17,$M$7:$M$16,0)),"")</f>
        <v>11</v>
      </c>
      <c r="I17" s="29">
        <f>IF(OR(G17="",H17=""),"",G17*H17)</f>
        <v>3674</v>
      </c>
      <c r="J17" s="29">
        <f>IF(I17="","",I17/1000)</f>
        <v>3.6739999999999999</v>
      </c>
      <c r="K17" s="20"/>
      <c r="L17" s="20"/>
      <c r="M17" s="20"/>
      <c r="N17" s="20"/>
    </row>
    <row r="18" spans="1:14" ht="15" customHeight="1" x14ac:dyDescent="0.2">
      <c r="A18" s="25">
        <v>11</v>
      </c>
      <c r="B18" s="26" t="s">
        <v>26</v>
      </c>
      <c r="C18" s="25">
        <v>2024</v>
      </c>
      <c r="D18" s="27" t="s">
        <v>30</v>
      </c>
      <c r="E18" s="26" t="s">
        <v>152</v>
      </c>
      <c r="F18" s="26" t="s">
        <v>149</v>
      </c>
      <c r="G18" s="28">
        <v>713</v>
      </c>
      <c r="H18" s="29">
        <f>IFERROR(INDEX($N$7:$N$16,MATCH(E18,$M$7:$M$16,0)),"")</f>
        <v>9.5</v>
      </c>
      <c r="I18" s="29">
        <f>IF(OR(G18="",H18=""),"",G18*H18)</f>
        <v>6773.5</v>
      </c>
      <c r="J18" s="29">
        <f>IF(I18="","",I18/1000)</f>
        <v>6.7735000000000003</v>
      </c>
      <c r="K18" s="20"/>
      <c r="L18" s="20"/>
      <c r="M18" s="20"/>
      <c r="N18" s="20"/>
    </row>
    <row r="19" spans="1:14" ht="15" customHeight="1" x14ac:dyDescent="0.2">
      <c r="A19" s="25">
        <v>12</v>
      </c>
      <c r="B19" s="26" t="s">
        <v>34</v>
      </c>
      <c r="C19" s="25">
        <v>2024</v>
      </c>
      <c r="D19" s="27" t="s">
        <v>20</v>
      </c>
      <c r="E19" s="26" t="s">
        <v>157</v>
      </c>
      <c r="F19" s="26" t="s">
        <v>149</v>
      </c>
      <c r="G19" s="28">
        <v>1395</v>
      </c>
      <c r="H19" s="29">
        <f>IFERROR(INDEX($N$7:$N$16,MATCH(E19,$M$7:$M$16,0)),"")</f>
        <v>14</v>
      </c>
      <c r="I19" s="29">
        <f>IF(OR(G19="",H19=""),"",G19*H19)</f>
        <v>19530</v>
      </c>
      <c r="J19" s="29">
        <f>IF(I19="","",I19/1000)</f>
        <v>19.53</v>
      </c>
      <c r="K19" s="20"/>
      <c r="L19" s="20"/>
      <c r="M19" s="20"/>
      <c r="N19" s="20"/>
    </row>
    <row r="20" spans="1:14" ht="15" customHeight="1" x14ac:dyDescent="0.2">
      <c r="A20" s="25">
        <v>13</v>
      </c>
      <c r="B20" s="26" t="s">
        <v>32</v>
      </c>
      <c r="C20" s="25">
        <v>2024</v>
      </c>
      <c r="D20" s="27" t="s">
        <v>40</v>
      </c>
      <c r="E20" s="26" t="s">
        <v>154</v>
      </c>
      <c r="F20" s="26" t="s">
        <v>149</v>
      </c>
      <c r="G20" s="28">
        <v>54</v>
      </c>
      <c r="H20" s="29">
        <f>IFERROR(INDEX($N$7:$N$16,MATCH(E20,$M$7:$M$16,0)),"")</f>
        <v>6.5</v>
      </c>
      <c r="I20" s="29">
        <f>IF(OR(G20="",H20=""),"",G20*H20)</f>
        <v>351</v>
      </c>
      <c r="J20" s="29">
        <f>IF(I20="","",I20/1000)</f>
        <v>0.35099999999999998</v>
      </c>
      <c r="K20" s="20"/>
      <c r="L20" s="20"/>
      <c r="M20" s="20"/>
      <c r="N20" s="20"/>
    </row>
    <row r="21" spans="1:14" ht="15" customHeight="1" x14ac:dyDescent="0.2">
      <c r="A21" s="25">
        <v>14</v>
      </c>
      <c r="B21" s="26" t="s">
        <v>44</v>
      </c>
      <c r="C21" s="25">
        <v>2024</v>
      </c>
      <c r="D21" s="27" t="s">
        <v>38</v>
      </c>
      <c r="E21" s="26" t="s">
        <v>156</v>
      </c>
      <c r="F21" s="26" t="s">
        <v>149</v>
      </c>
      <c r="G21" s="28">
        <v>506</v>
      </c>
      <c r="H21" s="29">
        <f>IFERROR(INDEX($N$7:$N$16,MATCH(E21,$M$7:$M$16,0)),"")</f>
        <v>11</v>
      </c>
      <c r="I21" s="29">
        <f>IF(OR(G21="",H21=""),"",G21*H21)</f>
        <v>5566</v>
      </c>
      <c r="J21" s="29">
        <f>IF(I21="","",I21/1000)</f>
        <v>5.5659999999999998</v>
      </c>
      <c r="K21" s="20"/>
      <c r="L21" s="20"/>
      <c r="M21" s="20"/>
      <c r="N21" s="20"/>
    </row>
    <row r="22" spans="1:14" ht="15" customHeight="1" x14ac:dyDescent="0.2">
      <c r="A22" s="25">
        <v>15</v>
      </c>
      <c r="B22" s="26" t="s">
        <v>32</v>
      </c>
      <c r="C22" s="25">
        <v>2022</v>
      </c>
      <c r="D22" s="27" t="s">
        <v>30</v>
      </c>
      <c r="E22" s="26" t="s">
        <v>151</v>
      </c>
      <c r="F22" s="26" t="s">
        <v>149</v>
      </c>
      <c r="G22" s="28">
        <v>1026</v>
      </c>
      <c r="H22" s="29">
        <f>IFERROR(INDEX($N$7:$N$16,MATCH(E22,$M$7:$M$16,0)),"")</f>
        <v>15.5</v>
      </c>
      <c r="I22" s="29">
        <f>IF(OR(G22="",H22=""),"",G22*H22)</f>
        <v>15903</v>
      </c>
      <c r="J22" s="29">
        <f>IF(I22="","",I22/1000)</f>
        <v>15.903</v>
      </c>
      <c r="K22" s="20"/>
      <c r="L22" s="20"/>
      <c r="M22" s="20"/>
      <c r="N22" s="20"/>
    </row>
    <row r="23" spans="1:14" ht="15" customHeight="1" x14ac:dyDescent="0.2">
      <c r="A23" s="25">
        <v>16</v>
      </c>
      <c r="B23" s="26" t="s">
        <v>19</v>
      </c>
      <c r="C23" s="25">
        <v>2024</v>
      </c>
      <c r="D23" s="27" t="s">
        <v>24</v>
      </c>
      <c r="E23" s="26" t="s">
        <v>147</v>
      </c>
      <c r="F23" s="26" t="s">
        <v>149</v>
      </c>
      <c r="G23" s="28">
        <v>447</v>
      </c>
      <c r="H23" s="29">
        <f>IFERROR(INDEX($N$7:$N$16,MATCH(E23,$M$7:$M$16,0)),"")</f>
        <v>8.5</v>
      </c>
      <c r="I23" s="29">
        <f>IF(OR(G23="",H23=""),"",G23*H23)</f>
        <v>3799.5</v>
      </c>
      <c r="J23" s="29">
        <f>IF(I23="","",I23/1000)</f>
        <v>3.7995000000000001</v>
      </c>
      <c r="K23" s="20"/>
      <c r="L23" s="20"/>
      <c r="M23" s="20"/>
      <c r="N23" s="20"/>
    </row>
    <row r="24" spans="1:14" ht="15" customHeight="1" x14ac:dyDescent="0.2">
      <c r="A24" s="25">
        <v>17</v>
      </c>
      <c r="B24" s="26" t="s">
        <v>39</v>
      </c>
      <c r="C24" s="25">
        <v>2024</v>
      </c>
      <c r="D24" s="27" t="s">
        <v>38</v>
      </c>
      <c r="E24" s="26" t="s">
        <v>147</v>
      </c>
      <c r="F24" s="26" t="s">
        <v>149</v>
      </c>
      <c r="G24" s="28">
        <v>508</v>
      </c>
      <c r="H24" s="29">
        <f>IFERROR(INDEX($N$7:$N$16,MATCH(E24,$M$7:$M$16,0)),"")</f>
        <v>8.5</v>
      </c>
      <c r="I24" s="29">
        <f>IF(OR(G24="",H24=""),"",G24*H24)</f>
        <v>4318</v>
      </c>
      <c r="J24" s="29">
        <f>IF(I24="","",I24/1000)</f>
        <v>4.3179999999999996</v>
      </c>
      <c r="K24" s="20"/>
      <c r="L24" s="20"/>
      <c r="M24" s="20"/>
      <c r="N24" s="20"/>
    </row>
    <row r="25" spans="1:14" ht="15" customHeight="1" x14ac:dyDescent="0.2">
      <c r="A25" s="25">
        <v>18</v>
      </c>
      <c r="B25" s="26" t="s">
        <v>29</v>
      </c>
      <c r="C25" s="25">
        <v>2023</v>
      </c>
      <c r="D25" s="27" t="s">
        <v>35</v>
      </c>
      <c r="E25" s="26" t="s">
        <v>151</v>
      </c>
      <c r="F25" s="26" t="s">
        <v>149</v>
      </c>
      <c r="G25" s="28">
        <v>400</v>
      </c>
      <c r="H25" s="29">
        <f>IFERROR(INDEX($N$7:$N$16,MATCH(E25,$M$7:$M$16,0)),"")</f>
        <v>15.5</v>
      </c>
      <c r="I25" s="29">
        <f>IF(OR(G25="",H25=""),"",G25*H25)</f>
        <v>6200</v>
      </c>
      <c r="J25" s="29">
        <f>IF(I25="","",I25/1000)</f>
        <v>6.2</v>
      </c>
      <c r="K25" s="20"/>
      <c r="L25" s="20"/>
      <c r="M25" s="20"/>
      <c r="N25" s="20"/>
    </row>
    <row r="26" spans="1:14" ht="15" customHeight="1" x14ac:dyDescent="0.2">
      <c r="A26" s="25">
        <v>19</v>
      </c>
      <c r="B26" s="26" t="s">
        <v>39</v>
      </c>
      <c r="C26" s="25">
        <v>2024</v>
      </c>
      <c r="D26" s="27" t="s">
        <v>35</v>
      </c>
      <c r="E26" s="26" t="s">
        <v>155</v>
      </c>
      <c r="F26" s="26" t="s">
        <v>149</v>
      </c>
      <c r="G26" s="28">
        <v>781</v>
      </c>
      <c r="H26" s="29">
        <f>IFERROR(INDEX($N$7:$N$16,MATCH(E26,$M$7:$M$16,0)),"")</f>
        <v>3</v>
      </c>
      <c r="I26" s="29">
        <f>IF(OR(G26="",H26=""),"",G26*H26)</f>
        <v>2343</v>
      </c>
      <c r="J26" s="29">
        <f>IF(I26="","",I26/1000)</f>
        <v>2.343</v>
      </c>
      <c r="K26" s="20"/>
      <c r="L26" s="20"/>
      <c r="M26" s="20"/>
      <c r="N26" s="20"/>
    </row>
    <row r="27" spans="1:14" ht="15" customHeight="1" x14ac:dyDescent="0.2">
      <c r="A27" s="25">
        <v>20</v>
      </c>
      <c r="B27" s="26" t="s">
        <v>56</v>
      </c>
      <c r="C27" s="25">
        <v>2024</v>
      </c>
      <c r="D27" s="27" t="s">
        <v>20</v>
      </c>
      <c r="E27" s="26" t="s">
        <v>150</v>
      </c>
      <c r="F27" s="26" t="s">
        <v>149</v>
      </c>
      <c r="G27" s="28">
        <v>1229</v>
      </c>
      <c r="H27" s="29">
        <f>IFERROR(INDEX($N$7:$N$16,MATCH(E27,$M$7:$M$16,0)),"")</f>
        <v>12</v>
      </c>
      <c r="I27" s="29">
        <f>IF(OR(G27="",H27=""),"",G27*H27)</f>
        <v>14748</v>
      </c>
      <c r="J27" s="29">
        <f>IF(I27="","",I27/1000)</f>
        <v>14.747999999999999</v>
      </c>
      <c r="K27" s="20"/>
      <c r="L27" s="20"/>
      <c r="M27" s="20"/>
      <c r="N27" s="20"/>
    </row>
    <row r="28" spans="1:14" ht="15" customHeight="1" x14ac:dyDescent="0.2">
      <c r="A28" s="25">
        <v>21</v>
      </c>
      <c r="B28" s="26" t="s">
        <v>26</v>
      </c>
      <c r="C28" s="25">
        <v>2022</v>
      </c>
      <c r="D28" s="27" t="s">
        <v>36</v>
      </c>
      <c r="E28" s="26" t="s">
        <v>153</v>
      </c>
      <c r="F28" s="26" t="s">
        <v>149</v>
      </c>
      <c r="G28" s="28">
        <v>527</v>
      </c>
      <c r="H28" s="29">
        <f>IFERROR(INDEX($N$7:$N$16,MATCH(E28,$M$7:$M$16,0)),"")</f>
        <v>10</v>
      </c>
      <c r="I28" s="29">
        <f>IF(OR(G28="",H28=""),"",G28*H28)</f>
        <v>5270</v>
      </c>
      <c r="J28" s="29">
        <f>IF(I28="","",I28/1000)</f>
        <v>5.27</v>
      </c>
      <c r="K28" s="20"/>
      <c r="L28" s="20"/>
      <c r="M28" s="20"/>
      <c r="N28" s="20"/>
    </row>
    <row r="29" spans="1:14" ht="15" customHeight="1" x14ac:dyDescent="0.2">
      <c r="A29" s="25">
        <v>22</v>
      </c>
      <c r="B29" s="26" t="s">
        <v>26</v>
      </c>
      <c r="C29" s="25">
        <v>2022</v>
      </c>
      <c r="D29" s="27" t="s">
        <v>27</v>
      </c>
      <c r="E29" s="26" t="s">
        <v>155</v>
      </c>
      <c r="F29" s="26" t="s">
        <v>149</v>
      </c>
      <c r="G29" s="28">
        <v>186</v>
      </c>
      <c r="H29" s="29">
        <f>IFERROR(INDEX($N$7:$N$16,MATCH(E29,$M$7:$M$16,0)),"")</f>
        <v>3</v>
      </c>
      <c r="I29" s="29">
        <f>IF(OR(G29="",H29=""),"",G29*H29)</f>
        <v>558</v>
      </c>
      <c r="J29" s="29">
        <f>IF(I29="","",I29/1000)</f>
        <v>0.55800000000000005</v>
      </c>
      <c r="K29" s="20"/>
      <c r="L29" s="20"/>
      <c r="M29" s="20"/>
      <c r="N29" s="20"/>
    </row>
    <row r="30" spans="1:14" ht="15" customHeight="1" x14ac:dyDescent="0.2">
      <c r="A30" s="25">
        <v>23</v>
      </c>
      <c r="B30" s="26" t="s">
        <v>26</v>
      </c>
      <c r="C30" s="25">
        <v>2024</v>
      </c>
      <c r="D30" s="27" t="s">
        <v>55</v>
      </c>
      <c r="E30" s="26" t="s">
        <v>148</v>
      </c>
      <c r="F30" s="26" t="s">
        <v>149</v>
      </c>
      <c r="G30" s="28">
        <v>871</v>
      </c>
      <c r="H30" s="29">
        <f>IFERROR(INDEX($N$7:$N$16,MATCH(E30,$M$7:$M$16,0)),"")</f>
        <v>18</v>
      </c>
      <c r="I30" s="29">
        <f>IF(OR(G30="",H30=""),"",G30*H30)</f>
        <v>15678</v>
      </c>
      <c r="J30" s="29">
        <f>IF(I30="","",I30/1000)</f>
        <v>15.678000000000001</v>
      </c>
      <c r="K30" s="20"/>
      <c r="L30" s="20"/>
      <c r="M30" s="20"/>
      <c r="N30" s="20"/>
    </row>
    <row r="31" spans="1:14" ht="15" customHeight="1" x14ac:dyDescent="0.2">
      <c r="A31" s="25">
        <v>24</v>
      </c>
      <c r="B31" s="26" t="s">
        <v>29</v>
      </c>
      <c r="C31" s="25">
        <v>2024</v>
      </c>
      <c r="D31" s="27" t="s">
        <v>35</v>
      </c>
      <c r="E31" s="26" t="s">
        <v>151</v>
      </c>
      <c r="F31" s="26" t="s">
        <v>149</v>
      </c>
      <c r="G31" s="28">
        <v>380</v>
      </c>
      <c r="H31" s="29">
        <f>IFERROR(INDEX($N$7:$N$16,MATCH(E31,$M$7:$M$16,0)),"")</f>
        <v>15.5</v>
      </c>
      <c r="I31" s="29">
        <f>IF(OR(G31="",H31=""),"",G31*H31)</f>
        <v>5890</v>
      </c>
      <c r="J31" s="29">
        <f>IF(I31="","",I31/1000)</f>
        <v>5.89</v>
      </c>
      <c r="K31" s="20"/>
      <c r="L31" s="20"/>
      <c r="M31" s="20"/>
      <c r="N31" s="20"/>
    </row>
    <row r="32" spans="1:14" ht="15" customHeight="1" x14ac:dyDescent="0.2">
      <c r="A32" s="25">
        <v>25</v>
      </c>
      <c r="B32" s="26" t="s">
        <v>37</v>
      </c>
      <c r="C32" s="25">
        <v>2023</v>
      </c>
      <c r="D32" s="27" t="s">
        <v>27</v>
      </c>
      <c r="E32" s="26" t="s">
        <v>157</v>
      </c>
      <c r="F32" s="26" t="s">
        <v>149</v>
      </c>
      <c r="G32" s="28">
        <v>1085</v>
      </c>
      <c r="H32" s="29">
        <f>IFERROR(INDEX($N$7:$N$16,MATCH(E32,$M$7:$M$16,0)),"")</f>
        <v>14</v>
      </c>
      <c r="I32" s="29">
        <f>IF(OR(G32="",H32=""),"",G32*H32)</f>
        <v>15190</v>
      </c>
      <c r="J32" s="29">
        <f>IF(I32="","",I32/1000)</f>
        <v>15.19</v>
      </c>
      <c r="K32" s="20"/>
      <c r="L32" s="20"/>
      <c r="M32" s="20"/>
      <c r="N32" s="20"/>
    </row>
    <row r="33" spans="1:14" ht="15" customHeight="1" x14ac:dyDescent="0.2">
      <c r="A33" s="25">
        <v>26</v>
      </c>
      <c r="B33" s="26" t="s">
        <v>34</v>
      </c>
      <c r="C33" s="25">
        <v>2024</v>
      </c>
      <c r="D33" s="27" t="s">
        <v>24</v>
      </c>
      <c r="E33" s="26" t="s">
        <v>152</v>
      </c>
      <c r="F33" s="26" t="s">
        <v>149</v>
      </c>
      <c r="G33" s="28">
        <v>1073</v>
      </c>
      <c r="H33" s="29">
        <f>IFERROR(INDEX($N$7:$N$16,MATCH(E33,$M$7:$M$16,0)),"")</f>
        <v>9.5</v>
      </c>
      <c r="I33" s="29">
        <f>IF(OR(G33="",H33=""),"",G33*H33)</f>
        <v>10193.5</v>
      </c>
      <c r="J33" s="29">
        <f>IF(I33="","",I33/1000)</f>
        <v>10.1935</v>
      </c>
      <c r="K33" s="20"/>
      <c r="L33" s="20"/>
      <c r="M33" s="20"/>
      <c r="N33" s="20"/>
    </row>
    <row r="34" spans="1:14" ht="15" customHeight="1" x14ac:dyDescent="0.2">
      <c r="A34" s="25">
        <v>27</v>
      </c>
      <c r="B34" s="26" t="s">
        <v>19</v>
      </c>
      <c r="C34" s="25">
        <v>2024</v>
      </c>
      <c r="D34" s="27" t="s">
        <v>43</v>
      </c>
      <c r="E34" s="26" t="s">
        <v>151</v>
      </c>
      <c r="F34" s="26" t="s">
        <v>149</v>
      </c>
      <c r="G34" s="28">
        <v>123</v>
      </c>
      <c r="H34" s="29">
        <f>IFERROR(INDEX($N$7:$N$16,MATCH(E34,$M$7:$M$16,0)),"")</f>
        <v>15.5</v>
      </c>
      <c r="I34" s="29">
        <f>IF(OR(G34="",H34=""),"",G34*H34)</f>
        <v>1906.5</v>
      </c>
      <c r="J34" s="29">
        <f>IF(I34="","",I34/1000)</f>
        <v>1.9065000000000001</v>
      </c>
      <c r="K34" s="20"/>
      <c r="L34" s="20"/>
      <c r="M34" s="20"/>
      <c r="N34" s="20"/>
    </row>
    <row r="35" spans="1:14" ht="15" customHeight="1" x14ac:dyDescent="0.2">
      <c r="A35" s="25">
        <v>28</v>
      </c>
      <c r="B35" s="26" t="s">
        <v>29</v>
      </c>
      <c r="C35" s="25">
        <v>2024</v>
      </c>
      <c r="D35" s="27" t="s">
        <v>30</v>
      </c>
      <c r="E35" s="26" t="s">
        <v>152</v>
      </c>
      <c r="F35" s="26" t="s">
        <v>149</v>
      </c>
      <c r="G35" s="28">
        <v>936</v>
      </c>
      <c r="H35" s="29">
        <f>IFERROR(INDEX($N$7:$N$16,MATCH(E35,$M$7:$M$16,0)),"")</f>
        <v>9.5</v>
      </c>
      <c r="I35" s="29">
        <f>IF(OR(G35="",H35=""),"",G35*H35)</f>
        <v>8892</v>
      </c>
      <c r="J35" s="29">
        <f>IF(I35="","",I35/1000)</f>
        <v>8.8919999999999995</v>
      </c>
      <c r="K35" s="20"/>
      <c r="L35" s="20"/>
      <c r="M35" s="20"/>
      <c r="N35" s="20"/>
    </row>
    <row r="36" spans="1:14" ht="15" customHeight="1" x14ac:dyDescent="0.2">
      <c r="A36" s="25">
        <v>29</v>
      </c>
      <c r="B36" s="26" t="s">
        <v>29</v>
      </c>
      <c r="C36" s="25">
        <v>2023</v>
      </c>
      <c r="D36" s="27" t="s">
        <v>27</v>
      </c>
      <c r="E36" s="26" t="s">
        <v>148</v>
      </c>
      <c r="F36" s="26" t="s">
        <v>149</v>
      </c>
      <c r="G36" s="28">
        <v>1149</v>
      </c>
      <c r="H36" s="29">
        <f>IFERROR(INDEX($N$7:$N$16,MATCH(E36,$M$7:$M$16,0)),"")</f>
        <v>18</v>
      </c>
      <c r="I36" s="29">
        <f>IF(OR(G36="",H36=""),"",G36*H36)</f>
        <v>20682</v>
      </c>
      <c r="J36" s="29">
        <f>IF(I36="","",I36/1000)</f>
        <v>20.681999999999999</v>
      </c>
      <c r="K36" s="20"/>
      <c r="L36" s="20"/>
      <c r="M36" s="20"/>
      <c r="N36" s="20"/>
    </row>
    <row r="37" spans="1:14" ht="15" customHeight="1" x14ac:dyDescent="0.2">
      <c r="A37" s="25">
        <v>30</v>
      </c>
      <c r="B37" s="26" t="s">
        <v>44</v>
      </c>
      <c r="C37" s="25">
        <v>2024</v>
      </c>
      <c r="D37" s="27" t="s">
        <v>40</v>
      </c>
      <c r="E37" s="26" t="s">
        <v>147</v>
      </c>
      <c r="F37" s="26" t="s">
        <v>149</v>
      </c>
      <c r="G37" s="28">
        <v>923</v>
      </c>
      <c r="H37" s="29">
        <f>IFERROR(INDEX($N$7:$N$16,MATCH(E37,$M$7:$M$16,0)),"")</f>
        <v>8.5</v>
      </c>
      <c r="I37" s="29">
        <f>IF(OR(G37="",H37=""),"",G37*H37)</f>
        <v>7845.5</v>
      </c>
      <c r="J37" s="29">
        <f>IF(I37="","",I37/1000)</f>
        <v>7.8455000000000004</v>
      </c>
      <c r="K37" s="20"/>
      <c r="L37" s="20"/>
      <c r="M37" s="20"/>
      <c r="N37" s="20"/>
    </row>
    <row r="38" spans="1:14" ht="15" customHeight="1" x14ac:dyDescent="0.2">
      <c r="A38" s="25">
        <v>31</v>
      </c>
      <c r="B38" s="26" t="s">
        <v>45</v>
      </c>
      <c r="C38" s="25">
        <v>2022</v>
      </c>
      <c r="D38" s="27" t="s">
        <v>33</v>
      </c>
      <c r="E38" s="26" t="s">
        <v>155</v>
      </c>
      <c r="F38" s="26" t="s">
        <v>149</v>
      </c>
      <c r="G38" s="28">
        <v>1138</v>
      </c>
      <c r="H38" s="29">
        <f>IFERROR(INDEX($N$7:$N$16,MATCH(E38,$M$7:$M$16,0)),"")</f>
        <v>3</v>
      </c>
      <c r="I38" s="29">
        <f>IF(OR(G38="",H38=""),"",G38*H38)</f>
        <v>3414</v>
      </c>
      <c r="J38" s="29">
        <f>IF(I38="","",I38/1000)</f>
        <v>3.4140000000000001</v>
      </c>
      <c r="K38" s="20"/>
      <c r="L38" s="20"/>
      <c r="M38" s="20"/>
      <c r="N38" s="20"/>
    </row>
    <row r="39" spans="1:14" ht="15" customHeight="1" x14ac:dyDescent="0.2">
      <c r="A39" s="20"/>
      <c r="B39" s="20"/>
      <c r="C39" s="20"/>
      <c r="D39" s="20"/>
      <c r="E39" s="30" t="s">
        <v>158</v>
      </c>
      <c r="F39" s="20"/>
      <c r="G39" s="20"/>
      <c r="H39" s="20"/>
      <c r="I39" s="31">
        <f>SUM(I8:I38)</f>
        <v>251867.5</v>
      </c>
      <c r="J39" s="31">
        <f>SUM(J8:J38)</f>
        <v>251.86749999999995</v>
      </c>
      <c r="K39" s="20"/>
      <c r="L39" s="20"/>
      <c r="M39" s="20"/>
      <c r="N39" s="20"/>
    </row>
  </sheetData>
  <dataValidations count="6">
    <dataValidation type="list" allowBlank="1" sqref="B8:B38" xr:uid="{00000000-0002-0000-0700-000000000000}">
      <formula1>"Residential Areas,Hostels,Academic Area,Health Centre,Schools,Visitor's Hostel,Servant's Quarters,Shops,Bank and PO,Lawns and Horticulture,Dhobhighat,Others"</formula1>
      <formula2>0</formula2>
    </dataValidation>
    <dataValidation type="whole" allowBlank="1" sqref="C8:C38" xr:uid="{00000000-0002-0000-0700-000001000000}">
      <formula1>2015</formula1>
      <formula2>2035</formula2>
    </dataValidation>
    <dataValidation type="list" allowBlank="1" sqref="D8:D38" xr:uid="{00000000-0002-0000-0700-000002000000}">
      <formula1>"January,February,March,April,May,June,July,August,September,October,November,December"</formula1>
      <formula2>0</formula2>
    </dataValidation>
    <dataValidation type="list" allowBlank="1" sqref="E8:E38" xr:uid="{00000000-0002-0000-0700-000003000000}">
      <formula1>$M$7:$M$16</formula1>
      <formula2>0</formula2>
    </dataValidation>
    <dataValidation type="list" allowBlank="1" sqref="F8:F38" xr:uid="{00000000-0002-0000-0700-000004000000}">
      <formula1>"INR '000 spent,INR Lakhs spent"</formula1>
      <formula2>0</formula2>
    </dataValidation>
    <dataValidation type="decimal" operator="greaterThanOrEqual" allowBlank="1" sqref="G8:G38" xr:uid="{00000000-0002-0000-0700-000005000000}">
      <formula1>0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50"/>
  <sheetViews>
    <sheetView showGridLines="0" zoomScaleNormal="100" workbookViewId="0">
      <pane ySplit="2" topLeftCell="A5" activePane="bottomLeft" state="frozen"/>
      <selection pane="bottomLeft"/>
    </sheetView>
  </sheetViews>
  <sheetFormatPr defaultColWidth="8.7421875" defaultRowHeight="15" x14ac:dyDescent="0.2"/>
  <cols>
    <col min="1" max="1" width="39.953125" customWidth="1"/>
    <col min="2" max="2" width="11.97265625" customWidth="1"/>
    <col min="3" max="4" width="2.95703125" customWidth="1"/>
    <col min="5" max="5" width="36.05078125" customWidth="1"/>
    <col min="6" max="6" width="16.0078125" customWidth="1"/>
  </cols>
  <sheetData>
    <row r="1" spans="1:6" ht="19.5" customHeight="1" x14ac:dyDescent="0.25">
      <c r="A1" s="32" t="s">
        <v>159</v>
      </c>
    </row>
    <row r="2" spans="1:6" ht="15" customHeight="1" x14ac:dyDescent="0.2">
      <c r="A2" s="33" t="s">
        <v>160</v>
      </c>
    </row>
    <row r="4" spans="1:6" ht="15" customHeight="1" x14ac:dyDescent="0.2">
      <c r="A4" s="34" t="s">
        <v>161</v>
      </c>
      <c r="E4" s="35" t="s">
        <v>162</v>
      </c>
    </row>
    <row r="5" spans="1:6" ht="15" customHeight="1" x14ac:dyDescent="0.2">
      <c r="A5" s="36" t="s">
        <v>163</v>
      </c>
      <c r="B5" s="37" t="s">
        <v>164</v>
      </c>
      <c r="E5" s="38" t="s">
        <v>141</v>
      </c>
      <c r="F5" s="38" t="s">
        <v>165</v>
      </c>
    </row>
    <row r="6" spans="1:6" ht="15" customHeight="1" x14ac:dyDescent="0.2">
      <c r="A6" s="39" t="s">
        <v>166</v>
      </c>
      <c r="B6" s="40">
        <v>2.2999999999999998</v>
      </c>
      <c r="E6" s="23" t="s">
        <v>167</v>
      </c>
      <c r="F6" s="41">
        <f>(SUMPRODUCT(('Fossil Fuel'!$E$8:$E$38="Petrol/Gasoline")*'Fossil Fuel'!$G$8:$G$38)*B6+SUMPRODUCT(('Fossil Fuel'!$E$8:$E$38="Diesel")*'Fossil Fuel'!$G$8:$G$38)*B7+SUMPRODUCT(('Fossil Fuel'!$E$8:$E$38="LPG")*'Fossil Fuel'!$G$8:$G$38)*B8+SUMPRODUCT(('Fossil Fuel'!$E$8:$E$38="PNG")*'Fossil Fuel'!$G$8:$G$38)*B9+SUMPRODUCT(('Fossil Fuel'!$E$8:$E$38="CNG")*'Fossil Fuel'!$G$8:$G$38)*B10)/1000</f>
        <v>45.395350000000008</v>
      </c>
    </row>
    <row r="7" spans="1:6" ht="15" customHeight="1" x14ac:dyDescent="0.2">
      <c r="A7" s="39" t="s">
        <v>168</v>
      </c>
      <c r="B7" s="40">
        <v>2.68</v>
      </c>
      <c r="E7" s="23" t="s">
        <v>169</v>
      </c>
      <c r="F7" s="41">
        <f>(SUMPRODUCT((Fugitive!$E$8:$E$38="Domestic Refrigeration")*Fugitive!$F$8:$F$38)*B13+SUMPRODUCT((Fugitive!$E$8:$E$38="Commercial Refrigeration")*Fugitive!$F$8:$F$38)*B14+SUMPRODUCT((Fugitive!$E$8:$E$38="Industrial Refrigeration")*Fugitive!$F$8:$F$38)*B15+SUMPRODUCT((Fugitive!$E$8:$E$38="Residential and Commercial A/Cs ")*Fugitive!$F$8:$F$38)*B16)/1000</f>
        <v>77.984999999999999</v>
      </c>
    </row>
    <row r="8" spans="1:6" ht="15" customHeight="1" x14ac:dyDescent="0.2">
      <c r="A8" s="39" t="s">
        <v>170</v>
      </c>
      <c r="B8" s="40">
        <v>2.98</v>
      </c>
      <c r="E8" s="23" t="s">
        <v>171</v>
      </c>
      <c r="F8" s="41">
        <f>(SUMPRODUCT((Electricity!$E$7:$E$37="Coal/Thermal")*Electricity!$H$7:$H$37)*B19+SUMPRODUCT((Electricity!$E$7:$E$37="Solar")*Electricity!$H$7:$H$37)*B20)/1000</f>
        <v>161.05183000000002</v>
      </c>
    </row>
    <row r="9" spans="1:6" ht="15" customHeight="1" x14ac:dyDescent="0.2">
      <c r="A9" s="39" t="s">
        <v>172</v>
      </c>
      <c r="B9" s="40">
        <v>2.75</v>
      </c>
      <c r="E9" s="23" t="s">
        <v>173</v>
      </c>
      <c r="F9" s="41">
        <f>(SUMPRODUCT((Water!$E$8:$E$38="Supplied Water")*Water!$H$8:$H$38)*B23+SUMPRODUCT((Water!$E$8:$E$38="Treated Water")*Water!$H$8:$H$38)*B24)/1000</f>
        <v>11.792450000000001</v>
      </c>
    </row>
    <row r="10" spans="1:6" ht="15" customHeight="1" x14ac:dyDescent="0.2">
      <c r="A10" s="39" t="s">
        <v>174</v>
      </c>
      <c r="B10" s="40">
        <v>2.7</v>
      </c>
      <c r="E10" s="23" t="s">
        <v>175</v>
      </c>
      <c r="F10" s="41">
        <f>(SUMPRODUCT((Waste!$F$8:$F$38="Landfills")*Waste!$H$8:$H$38)*B27+SUMPRODUCT((Waste!$F$8:$F$38="Combustion")*Waste!$H$8:$H$38)*B28+SUMPRODUCT((Waste!$F$8:$F$38="Recycling")*Waste!$H$8:$H$38)*B29+SUMPRODUCT((Waste!$F$8:$F$38="Composting")*Waste!$H$8:$H$38)*B30)/1000</f>
        <v>8.4438999999999993</v>
      </c>
    </row>
    <row r="11" spans="1:6" ht="15" customHeight="1" x14ac:dyDescent="0.2">
      <c r="E11" s="23" t="s">
        <v>176</v>
      </c>
      <c r="F11" s="41">
        <f>(SUMPRODUCT((Travel!$E$8:$E$38="Airways")*(Travel!$G$8:$G$38="Domestic")*Travel!$K$8:$K$38)*B33+SUMPRODUCT((Travel!$E$8:$E$38="Airways")*(Travel!$G$8:$G$38="Short Haul")*Travel!$K$8:$K$38)*B34+SUMPRODUCT((Travel!$E$8:$E$38="Airways")*(Travel!$G$8:$G$38="Long Haul")*Travel!$K$8:$K$38)*B35+SUMPRODUCT((Travel!$E$8:$E$38="Airways")*(Travel!$G$8:$G$38="International")*Travel!$K$8:$K$38)*B36+SUMPRODUCT((Travel!$E$8:$E$38="Railways")*(Travel!$F$8:$F$38="National Railways")*Travel!$K$8:$K$38)*B37+SUMPRODUCT((Travel!$E$8:$E$38="Railways")*(Travel!$F$8:$F$38="Metro")*Travel!$K$8:$K$38)*B38+SUMPRODUCT((Travel!$E$8:$E$38="Roadways")*(Travel!$I$8:$I$38="Bus")*Travel!$K$8:$K$38)*B39+SUMPRODUCT((Travel!$E$8:$E$38="Roadways")*(Travel!$I$8:$I$38="Taxi")*Travel!$K$8:$K$38)*B40+SUMPRODUCT((Travel!$E$8:$E$38="Roadways")*(Travel!$I$8:$I$38="Small Sized Car")*Travel!$K$8:$K$38)*B41+SUMPRODUCT((Travel!$E$8:$E$38="Roadways")*(Travel!$I$8:$I$38="Medium Sized Car")*Travel!$K$8:$K$38)*B42+SUMPRODUCT((Travel!$E$8:$E$38="Roadways")*(Travel!$I$8:$I$38="Large Sized Car")*Travel!$K$8:$K$38)*B43+SUMPRODUCT((Travel!$E$8:$E$38="Roadways")*(Travel!$I$8:$I$38="Motorcycle")*Travel!$K$8:$K$38)*B44)/1000</f>
        <v>5.7016999999999989</v>
      </c>
    </row>
    <row r="12" spans="1:6" ht="15" customHeight="1" x14ac:dyDescent="0.2">
      <c r="A12" s="36" t="s">
        <v>177</v>
      </c>
      <c r="B12" s="37" t="s">
        <v>164</v>
      </c>
      <c r="E12" s="23" t="s">
        <v>178</v>
      </c>
      <c r="F12" s="41">
        <f>'Secondary Data'!J39</f>
        <v>251.86749999999995</v>
      </c>
    </row>
    <row r="13" spans="1:6" ht="15" customHeight="1" x14ac:dyDescent="0.2">
      <c r="A13" s="39" t="s">
        <v>179</v>
      </c>
      <c r="B13" s="40">
        <v>45</v>
      </c>
      <c r="E13" s="42" t="s">
        <v>180</v>
      </c>
      <c r="F13" s="43">
        <f>SUM(F6:F12)</f>
        <v>562.23772999999994</v>
      </c>
    </row>
    <row r="14" spans="1:6" ht="15" customHeight="1" x14ac:dyDescent="0.2">
      <c r="A14" s="39" t="s">
        <v>181</v>
      </c>
      <c r="B14" s="40">
        <v>320</v>
      </c>
    </row>
    <row r="15" spans="1:6" ht="15" customHeight="1" x14ac:dyDescent="0.2">
      <c r="A15" s="39" t="s">
        <v>182</v>
      </c>
      <c r="B15" s="40">
        <v>850</v>
      </c>
      <c r="E15" s="23" t="s">
        <v>183</v>
      </c>
      <c r="F15" s="41">
        <f>-((SUM(Offset!$E$8:$E$38)*B47+SUM(Offset!$F$8:$F$38)*B48+SUM(Offset!$G$8:$G$38)*B49+SUM(Offset!$H$8:$H$38)*B50)/1000)</f>
        <v>-243.65600000000001</v>
      </c>
    </row>
    <row r="16" spans="1:6" ht="15" customHeight="1" x14ac:dyDescent="0.2">
      <c r="A16" s="39" t="s">
        <v>184</v>
      </c>
      <c r="B16" s="40">
        <v>180</v>
      </c>
    </row>
    <row r="17" spans="1:6" ht="15.75" customHeight="1" x14ac:dyDescent="0.2">
      <c r="E17" s="44" t="s">
        <v>185</v>
      </c>
      <c r="F17" s="45">
        <f>F13+F15</f>
        <v>318.58172999999994</v>
      </c>
    </row>
    <row r="18" spans="1:6" ht="15" customHeight="1" x14ac:dyDescent="0.2">
      <c r="A18" s="36" t="s">
        <v>186</v>
      </c>
      <c r="B18" s="37" t="s">
        <v>164</v>
      </c>
    </row>
    <row r="19" spans="1:6" ht="15" customHeight="1" x14ac:dyDescent="0.2">
      <c r="A19" s="39" t="s">
        <v>187</v>
      </c>
      <c r="B19" s="40">
        <v>0.82</v>
      </c>
    </row>
    <row r="20" spans="1:6" ht="15" customHeight="1" x14ac:dyDescent="0.2">
      <c r="A20" s="39" t="s">
        <v>188</v>
      </c>
      <c r="B20" s="40">
        <v>0.05</v>
      </c>
    </row>
    <row r="22" spans="1:6" ht="15" customHeight="1" x14ac:dyDescent="0.2">
      <c r="A22" s="36" t="s">
        <v>189</v>
      </c>
      <c r="B22" s="37" t="s">
        <v>164</v>
      </c>
    </row>
    <row r="23" spans="1:6" ht="15" customHeight="1" x14ac:dyDescent="0.2">
      <c r="A23" s="39" t="s">
        <v>190</v>
      </c>
      <c r="B23" s="40">
        <v>0.35</v>
      </c>
    </row>
    <row r="24" spans="1:6" ht="15" customHeight="1" x14ac:dyDescent="0.2">
      <c r="A24" s="39" t="s">
        <v>191</v>
      </c>
      <c r="B24" s="40">
        <v>0.25</v>
      </c>
    </row>
    <row r="26" spans="1:6" ht="15" customHeight="1" x14ac:dyDescent="0.2">
      <c r="A26" s="36" t="s">
        <v>192</v>
      </c>
      <c r="B26" s="37" t="s">
        <v>164</v>
      </c>
    </row>
    <row r="27" spans="1:6" ht="15" customHeight="1" x14ac:dyDescent="0.2">
      <c r="A27" s="39" t="s">
        <v>193</v>
      </c>
      <c r="B27" s="40">
        <v>1.8</v>
      </c>
    </row>
    <row r="28" spans="1:6" ht="15" customHeight="1" x14ac:dyDescent="0.2">
      <c r="A28" s="39" t="s">
        <v>194</v>
      </c>
      <c r="B28" s="40">
        <v>1.2</v>
      </c>
    </row>
    <row r="29" spans="1:6" ht="15" customHeight="1" x14ac:dyDescent="0.2">
      <c r="A29" s="39" t="s">
        <v>195</v>
      </c>
      <c r="B29" s="40">
        <v>0.3</v>
      </c>
    </row>
    <row r="30" spans="1:6" ht="15" customHeight="1" x14ac:dyDescent="0.2">
      <c r="A30" s="39" t="s">
        <v>196</v>
      </c>
      <c r="B30" s="40">
        <v>0.25</v>
      </c>
    </row>
    <row r="32" spans="1:6" ht="15" customHeight="1" x14ac:dyDescent="0.2">
      <c r="A32" s="36" t="s">
        <v>197</v>
      </c>
      <c r="B32" s="37" t="s">
        <v>164</v>
      </c>
    </row>
    <row r="33" spans="1:2" ht="15" customHeight="1" x14ac:dyDescent="0.2">
      <c r="A33" s="39" t="s">
        <v>198</v>
      </c>
      <c r="B33" s="40">
        <v>0.18</v>
      </c>
    </row>
    <row r="34" spans="1:2" ht="15" customHeight="1" x14ac:dyDescent="0.2">
      <c r="A34" s="39" t="s">
        <v>199</v>
      </c>
      <c r="B34" s="40">
        <v>0.15</v>
      </c>
    </row>
    <row r="35" spans="1:2" ht="15" customHeight="1" x14ac:dyDescent="0.2">
      <c r="A35" s="39" t="s">
        <v>200</v>
      </c>
      <c r="B35" s="40">
        <v>0.11</v>
      </c>
    </row>
    <row r="36" spans="1:2" ht="15" customHeight="1" x14ac:dyDescent="0.2">
      <c r="A36" s="39" t="s">
        <v>201</v>
      </c>
      <c r="B36" s="40">
        <v>0.11</v>
      </c>
    </row>
    <row r="37" spans="1:2" ht="15" customHeight="1" x14ac:dyDescent="0.2">
      <c r="A37" s="39" t="s">
        <v>202</v>
      </c>
      <c r="B37" s="40">
        <v>0.04</v>
      </c>
    </row>
    <row r="38" spans="1:2" ht="15" customHeight="1" x14ac:dyDescent="0.2">
      <c r="A38" s="39" t="s">
        <v>203</v>
      </c>
      <c r="B38" s="40">
        <v>0.03</v>
      </c>
    </row>
    <row r="39" spans="1:2" ht="15" customHeight="1" x14ac:dyDescent="0.2">
      <c r="A39" s="39" t="s">
        <v>204</v>
      </c>
      <c r="B39" s="40">
        <v>0.05</v>
      </c>
    </row>
    <row r="40" spans="1:2" ht="15" customHeight="1" x14ac:dyDescent="0.2">
      <c r="A40" s="39" t="s">
        <v>205</v>
      </c>
      <c r="B40" s="40">
        <v>0.15</v>
      </c>
    </row>
    <row r="41" spans="1:2" ht="15" customHeight="1" x14ac:dyDescent="0.2">
      <c r="A41" s="39" t="s">
        <v>206</v>
      </c>
      <c r="B41" s="40">
        <v>0.15</v>
      </c>
    </row>
    <row r="42" spans="1:2" ht="15" customHeight="1" x14ac:dyDescent="0.2">
      <c r="A42" s="39" t="s">
        <v>207</v>
      </c>
      <c r="B42" s="40">
        <v>0.19</v>
      </c>
    </row>
    <row r="43" spans="1:2" ht="15" customHeight="1" x14ac:dyDescent="0.2">
      <c r="A43" s="39" t="s">
        <v>208</v>
      </c>
      <c r="B43" s="40">
        <v>0.25</v>
      </c>
    </row>
    <row r="44" spans="1:2" ht="15" customHeight="1" x14ac:dyDescent="0.2">
      <c r="A44" s="39" t="s">
        <v>209</v>
      </c>
      <c r="B44" s="40">
        <v>0.09</v>
      </c>
    </row>
    <row r="46" spans="1:2" ht="15" customHeight="1" x14ac:dyDescent="0.2">
      <c r="A46" s="36" t="s">
        <v>210</v>
      </c>
      <c r="B46" s="37" t="s">
        <v>164</v>
      </c>
    </row>
    <row r="47" spans="1:2" ht="15" customHeight="1" x14ac:dyDescent="0.2">
      <c r="A47" s="39" t="s">
        <v>211</v>
      </c>
      <c r="B47" s="40">
        <v>21</v>
      </c>
    </row>
    <row r="48" spans="1:2" ht="15" customHeight="1" x14ac:dyDescent="0.2">
      <c r="A48" s="39" t="s">
        <v>212</v>
      </c>
      <c r="B48" s="40">
        <v>80000</v>
      </c>
    </row>
    <row r="49" spans="1:2" ht="15" customHeight="1" x14ac:dyDescent="0.2">
      <c r="A49" s="39" t="s">
        <v>213</v>
      </c>
      <c r="B49" s="40">
        <v>40000</v>
      </c>
    </row>
    <row r="50" spans="1:2" ht="15" customHeight="1" x14ac:dyDescent="0.2">
      <c r="A50" s="39" t="s">
        <v>214</v>
      </c>
      <c r="B50" s="40">
        <v>20000</v>
      </c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showGridLines="0" tabSelected="1" zoomScaleNormal="100" workbookViewId="0"/>
  </sheetViews>
  <sheetFormatPr defaultColWidth="8.7421875" defaultRowHeight="15" x14ac:dyDescent="0.2"/>
  <cols>
    <col min="1" max="1" width="9.953125" customWidth="1"/>
    <col min="2" max="2" width="11.97265625" customWidth="1"/>
    <col min="3" max="3" width="23.9453125" customWidth="1"/>
    <col min="4" max="4" width="13.98828125" customWidth="1"/>
    <col min="5" max="5" width="4.03515625" customWidth="1"/>
    <col min="6" max="6" width="22.05859375" customWidth="1"/>
    <col min="7" max="7" width="16.0078125" customWidth="1"/>
  </cols>
  <sheetData>
    <row r="1" spans="1:4" ht="19.5" customHeight="1" x14ac:dyDescent="0.25">
      <c r="A1" s="61" t="s">
        <v>215</v>
      </c>
      <c r="B1" s="61"/>
      <c r="C1" s="61"/>
      <c r="D1" s="61"/>
    </row>
    <row r="2" spans="1:4" ht="15" customHeight="1" x14ac:dyDescent="0.2">
      <c r="A2" s="62" t="s">
        <v>216</v>
      </c>
      <c r="B2" s="62"/>
      <c r="C2" s="62"/>
      <c r="D2" s="62"/>
    </row>
    <row r="4" spans="1:4" ht="15" customHeight="1" x14ac:dyDescent="0.2">
      <c r="A4" s="46"/>
      <c r="B4" s="46" t="s">
        <v>217</v>
      </c>
      <c r="C4" s="46" t="s">
        <v>141</v>
      </c>
      <c r="D4" s="46" t="s">
        <v>165</v>
      </c>
    </row>
    <row r="5" spans="1:4" ht="15.75" customHeight="1" x14ac:dyDescent="0.2">
      <c r="A5" s="47" t="str">
        <f>IF(B5,"☑","☐")</f>
        <v>☑</v>
      </c>
      <c r="B5" s="48" t="b">
        <f>TRUE()</f>
        <v>1</v>
      </c>
      <c r="C5" s="49" t="s">
        <v>167</v>
      </c>
      <c r="D5" s="50">
        <f>Summary!F6</f>
        <v>45.395350000000008</v>
      </c>
    </row>
    <row r="6" spans="1:4" ht="15.75" customHeight="1" x14ac:dyDescent="0.2">
      <c r="A6" s="47" t="str">
        <f>IF(B6,"☑","☐")</f>
        <v>☑</v>
      </c>
      <c r="B6" s="48" t="b">
        <f>TRUE()</f>
        <v>1</v>
      </c>
      <c r="C6" s="49" t="s">
        <v>169</v>
      </c>
      <c r="D6" s="50">
        <f>Summary!F7</f>
        <v>77.984999999999999</v>
      </c>
    </row>
    <row r="7" spans="1:4" ht="15.75" customHeight="1" x14ac:dyDescent="0.2">
      <c r="A7" s="47" t="str">
        <f>IF(B7,"☑","☐")</f>
        <v>☑</v>
      </c>
      <c r="B7" s="48" t="b">
        <f>TRUE()</f>
        <v>1</v>
      </c>
      <c r="C7" s="49" t="s">
        <v>171</v>
      </c>
      <c r="D7" s="50">
        <f>Summary!F8</f>
        <v>161.05183000000002</v>
      </c>
    </row>
    <row r="8" spans="1:4" ht="15.75" customHeight="1" x14ac:dyDescent="0.2">
      <c r="A8" s="47" t="str">
        <f>IF(B8,"☑","☐")</f>
        <v>☑</v>
      </c>
      <c r="B8" s="48" t="b">
        <f>TRUE()</f>
        <v>1</v>
      </c>
      <c r="C8" s="49" t="s">
        <v>173</v>
      </c>
      <c r="D8" s="50">
        <f>Summary!F9</f>
        <v>11.792450000000001</v>
      </c>
    </row>
    <row r="9" spans="1:4" ht="15.75" customHeight="1" x14ac:dyDescent="0.2">
      <c r="A9" s="47" t="str">
        <f>IF(B9,"☑","☐")</f>
        <v>☑</v>
      </c>
      <c r="B9" s="48" t="b">
        <f>TRUE()</f>
        <v>1</v>
      </c>
      <c r="C9" s="49" t="s">
        <v>175</v>
      </c>
      <c r="D9" s="50">
        <f>Summary!F10</f>
        <v>8.4438999999999993</v>
      </c>
    </row>
    <row r="10" spans="1:4" ht="15.75" customHeight="1" x14ac:dyDescent="0.2">
      <c r="A10" s="47" t="str">
        <f>IF(B10,"☑","☐")</f>
        <v>☑</v>
      </c>
      <c r="B10" s="48" t="b">
        <f>TRUE()</f>
        <v>1</v>
      </c>
      <c r="C10" s="49" t="s">
        <v>176</v>
      </c>
      <c r="D10" s="50">
        <f>Summary!F11</f>
        <v>5.7016999999999989</v>
      </c>
    </row>
    <row r="11" spans="1:4" ht="15.75" customHeight="1" x14ac:dyDescent="0.2">
      <c r="A11" s="47" t="str">
        <f>IF(B11,"☑","☐")</f>
        <v>☑</v>
      </c>
      <c r="B11" s="48" t="b">
        <f>TRUE()</f>
        <v>1</v>
      </c>
      <c r="C11" s="49" t="s">
        <v>178</v>
      </c>
      <c r="D11" s="50">
        <f>Summary!F12</f>
        <v>251.86749999999995</v>
      </c>
    </row>
    <row r="12" spans="1:4" ht="15.75" customHeight="1" x14ac:dyDescent="0.2">
      <c r="A12" s="51"/>
      <c r="B12" s="51"/>
      <c r="C12" s="52" t="s">
        <v>218</v>
      </c>
      <c r="D12" s="53">
        <f>SUMPRODUCT(B5:B11*D5:D11)</f>
        <v>562.23772999999994</v>
      </c>
    </row>
    <row r="14" spans="1:4" ht="25.5" customHeight="1" x14ac:dyDescent="0.2">
      <c r="A14" s="63" t="str">
        <f>"Total To Offset  =  "&amp;TEXT(D12,"#,##0.00")&amp;"  metric tons of CO2e"</f>
        <v>Total To Offset  =  562.24  metric tons of CO2e</v>
      </c>
      <c r="B14" s="63"/>
      <c r="C14" s="63"/>
      <c r="D14" s="63"/>
    </row>
    <row r="16" spans="1:4" ht="15" customHeight="1" x14ac:dyDescent="0.2">
      <c r="A16" s="64" t="s">
        <v>219</v>
      </c>
      <c r="B16" s="64"/>
      <c r="C16" s="64"/>
      <c r="D16" s="64"/>
    </row>
    <row r="17" spans="1:4" ht="15" customHeight="1" x14ac:dyDescent="0.2">
      <c r="A17" s="60" t="s">
        <v>220</v>
      </c>
      <c r="B17" s="60"/>
      <c r="C17" s="55">
        <v>1.9</v>
      </c>
      <c r="D17" s="56" t="s">
        <v>221</v>
      </c>
    </row>
    <row r="18" spans="1:4" ht="15" customHeight="1" x14ac:dyDescent="0.2">
      <c r="A18" s="60" t="s">
        <v>222</v>
      </c>
      <c r="B18" s="60"/>
      <c r="C18" s="55">
        <v>4.8600000000000003</v>
      </c>
      <c r="D18" s="56" t="s">
        <v>223</v>
      </c>
    </row>
    <row r="19" spans="1:4" ht="15" customHeight="1" x14ac:dyDescent="0.2">
      <c r="A19" s="60" t="s">
        <v>224</v>
      </c>
      <c r="B19" s="60"/>
      <c r="C19" s="55">
        <v>0</v>
      </c>
      <c r="D19" s="56" t="s">
        <v>225</v>
      </c>
    </row>
    <row r="21" spans="1:4" ht="15" customHeight="1" x14ac:dyDescent="0.2">
      <c r="A21" s="57" t="s">
        <v>226</v>
      </c>
      <c r="B21" s="57" t="s">
        <v>165</v>
      </c>
    </row>
    <row r="22" spans="1:4" ht="15" customHeight="1" x14ac:dyDescent="0.2">
      <c r="A22" s="54" t="s">
        <v>227</v>
      </c>
      <c r="B22" s="58">
        <f>D12</f>
        <v>562.23772999999994</v>
      </c>
    </row>
    <row r="23" spans="1:4" ht="15" customHeight="1" x14ac:dyDescent="0.2">
      <c r="A23" s="54" t="s">
        <v>220</v>
      </c>
      <c r="B23" s="58">
        <f>C17</f>
        <v>1.9</v>
      </c>
    </row>
    <row r="24" spans="1:4" ht="15" customHeight="1" x14ac:dyDescent="0.2">
      <c r="A24" s="54" t="s">
        <v>222</v>
      </c>
      <c r="B24" s="58">
        <f>C18</f>
        <v>4.8600000000000003</v>
      </c>
    </row>
    <row r="25" spans="1:4" ht="15" customHeight="1" x14ac:dyDescent="0.2">
      <c r="A25" s="54" t="s">
        <v>224</v>
      </c>
      <c r="B25" s="58">
        <f>C19</f>
        <v>0</v>
      </c>
    </row>
    <row r="37" spans="1:4" ht="15" customHeight="1" x14ac:dyDescent="0.2">
      <c r="A37" s="60" t="str">
        <f>"•  Your footprint is "&amp;TEXT(D12,"#,##0.00")&amp;" metric tons per year"</f>
        <v>•  Your footprint is 562.24 metric tons per year</v>
      </c>
      <c r="B37" s="60"/>
      <c r="C37" s="60"/>
      <c r="D37" s="60"/>
    </row>
    <row r="38" spans="1:4" ht="15" customHeight="1" x14ac:dyDescent="0.2">
      <c r="A38" s="60" t="str">
        <f>"•  The average footprint for your Country Average benchmark is "&amp;TEXT(C17,"#,##0.00")&amp;" metric tons"</f>
        <v>•  The average footprint for your Country Average benchmark is 1.90 metric tons</v>
      </c>
      <c r="B38" s="60"/>
      <c r="C38" s="60"/>
      <c r="D38" s="60"/>
    </row>
    <row r="39" spans="1:4" ht="15" customHeight="1" x14ac:dyDescent="0.2">
      <c r="A39" s="60" t="str">
        <f>"•  The average worldwide carbon footprint is about "&amp;TEXT(C18,"#,##0.00")&amp;" metric tons"</f>
        <v>•  The average worldwide carbon footprint is about 4.86 metric tons</v>
      </c>
      <c r="B39" s="60"/>
      <c r="C39" s="60"/>
      <c r="D39" s="60"/>
    </row>
    <row r="40" spans="1:4" ht="15" customHeight="1" x14ac:dyDescent="0.2">
      <c r="A40" s="60" t="str">
        <f>"•  The worldwide target to combat climate change is "&amp;TEXT(C19,"#,##0.00")&amp;" metric tons"</f>
        <v>•  The worldwide target to combat climate change is 0.00 metric tons</v>
      </c>
      <c r="B40" s="60"/>
      <c r="C40" s="60"/>
      <c r="D40" s="60"/>
    </row>
  </sheetData>
  <mergeCells count="11">
    <mergeCell ref="A1:D1"/>
    <mergeCell ref="A2:D2"/>
    <mergeCell ref="A14:D14"/>
    <mergeCell ref="A16:D16"/>
    <mergeCell ref="A17:B17"/>
    <mergeCell ref="A40:D40"/>
    <mergeCell ref="A18:B18"/>
    <mergeCell ref="A19:B19"/>
    <mergeCell ref="A37:D37"/>
    <mergeCell ref="A38:D38"/>
    <mergeCell ref="A39:D39"/>
  </mergeCells>
  <dataValidations count="1">
    <dataValidation type="list" sqref="B5:B11" xr:uid="{00000000-0002-0000-09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7"/>
  <sheetViews>
    <sheetView zoomScaleNormal="100" workbookViewId="0">
      <selection activeCell="C14" sqref="C14"/>
    </sheetView>
  </sheetViews>
  <sheetFormatPr defaultColWidth="8.7421875" defaultRowHeight="15" x14ac:dyDescent="0.2"/>
  <cols>
    <col min="1" max="1" width="20.04296875" customWidth="1"/>
    <col min="2" max="2" width="29.99609375" customWidth="1"/>
    <col min="3" max="3" width="23" customWidth="1"/>
    <col min="4" max="6" width="18.0234375" customWidth="1"/>
    <col min="7" max="7" width="13.98828125" customWidth="1"/>
    <col min="8" max="8" width="13.046875" customWidth="1"/>
    <col min="9" max="9" width="13.98828125" customWidth="1"/>
  </cols>
  <sheetData>
    <row r="1" spans="1:9" ht="14.25" customHeight="1" x14ac:dyDescent="0.2">
      <c r="A1" s="23" t="s">
        <v>96</v>
      </c>
      <c r="B1" s="23" t="s">
        <v>91</v>
      </c>
      <c r="C1" s="23" t="s">
        <v>89</v>
      </c>
      <c r="D1" s="23" t="s">
        <v>93</v>
      </c>
      <c r="E1" s="23" t="s">
        <v>21</v>
      </c>
      <c r="F1" s="23" t="s">
        <v>41</v>
      </c>
      <c r="G1" s="23" t="s">
        <v>28</v>
      </c>
      <c r="H1" s="23" t="s">
        <v>25</v>
      </c>
      <c r="I1" s="23" t="s">
        <v>31</v>
      </c>
    </row>
    <row r="2" spans="1:9" ht="14.25" customHeight="1" x14ac:dyDescent="0.2">
      <c r="A2" s="23" t="s">
        <v>94</v>
      </c>
      <c r="B2" s="23" t="s">
        <v>94</v>
      </c>
      <c r="C2" s="23" t="s">
        <v>94</v>
      </c>
      <c r="D2" s="23" t="s">
        <v>94</v>
      </c>
      <c r="E2" s="23" t="s">
        <v>228</v>
      </c>
      <c r="F2" s="23" t="s">
        <v>228</v>
      </c>
      <c r="G2" s="23" t="s">
        <v>228</v>
      </c>
      <c r="H2" s="23" t="s">
        <v>228</v>
      </c>
      <c r="I2" s="23" t="s">
        <v>228</v>
      </c>
    </row>
    <row r="3" spans="1:9" ht="14.25" customHeight="1" x14ac:dyDescent="0.2">
      <c r="A3" s="23" t="s">
        <v>92</v>
      </c>
      <c r="B3" s="23" t="s">
        <v>92</v>
      </c>
      <c r="C3" s="23" t="s">
        <v>92</v>
      </c>
      <c r="D3" s="23" t="s">
        <v>92</v>
      </c>
      <c r="E3" s="23" t="s">
        <v>22</v>
      </c>
      <c r="F3" s="23" t="s">
        <v>22</v>
      </c>
      <c r="G3" s="23" t="s">
        <v>22</v>
      </c>
      <c r="H3" s="23" t="s">
        <v>22</v>
      </c>
      <c r="I3" s="23" t="s">
        <v>22</v>
      </c>
    </row>
    <row r="4" spans="1:9" ht="14.25" customHeight="1" x14ac:dyDescent="0.2">
      <c r="A4" s="23" t="s">
        <v>95</v>
      </c>
      <c r="B4" s="23" t="s">
        <v>95</v>
      </c>
      <c r="C4" s="23" t="s">
        <v>95</v>
      </c>
      <c r="D4" s="23" t="s">
        <v>95</v>
      </c>
      <c r="E4" s="23" t="s">
        <v>78</v>
      </c>
      <c r="F4" s="23" t="s">
        <v>229</v>
      </c>
      <c r="G4" s="23" t="s">
        <v>78</v>
      </c>
      <c r="H4" s="23" t="s">
        <v>229</v>
      </c>
      <c r="I4" s="23" t="s">
        <v>78</v>
      </c>
    </row>
    <row r="5" spans="1:9" ht="14.25" customHeight="1" x14ac:dyDescent="0.2">
      <c r="A5" s="59"/>
      <c r="B5" s="59"/>
      <c r="C5" s="23" t="s">
        <v>90</v>
      </c>
      <c r="D5" s="23" t="s">
        <v>90</v>
      </c>
      <c r="E5" s="59"/>
      <c r="F5" s="59"/>
      <c r="G5" s="59"/>
      <c r="H5" s="59"/>
      <c r="I5" s="59"/>
    </row>
    <row r="6" spans="1:9" ht="14.25" customHeight="1" x14ac:dyDescent="0.2">
      <c r="A6" s="23" t="s">
        <v>113</v>
      </c>
      <c r="B6" s="23" t="s">
        <v>122</v>
      </c>
      <c r="C6" s="59"/>
      <c r="D6" s="59"/>
      <c r="E6" s="59"/>
      <c r="F6" s="59"/>
      <c r="G6" s="59"/>
      <c r="H6" s="59"/>
      <c r="I6" s="59"/>
    </row>
    <row r="7" spans="1:9" ht="14.25" customHeight="1" x14ac:dyDescent="0.2">
      <c r="A7" s="23" t="s">
        <v>117</v>
      </c>
      <c r="B7" s="23" t="s">
        <v>123</v>
      </c>
      <c r="C7" s="59"/>
      <c r="D7" s="59"/>
      <c r="E7" s="59"/>
      <c r="F7" s="59"/>
      <c r="G7" s="59"/>
      <c r="H7" s="59"/>
      <c r="I7" s="59"/>
    </row>
    <row r="8" spans="1:9" ht="14.25" customHeight="1" x14ac:dyDescent="0.2">
      <c r="A8" s="23" t="s">
        <v>114</v>
      </c>
      <c r="B8" s="23" t="s">
        <v>230</v>
      </c>
      <c r="C8" s="59"/>
      <c r="D8" s="59"/>
      <c r="E8" s="59"/>
      <c r="F8" s="59"/>
      <c r="G8" s="59"/>
      <c r="H8" s="59"/>
      <c r="I8" s="59"/>
    </row>
    <row r="9" spans="1:9" ht="14.25" customHeight="1" x14ac:dyDescent="0.2">
      <c r="A9" s="59"/>
      <c r="B9" s="23" t="s">
        <v>125</v>
      </c>
      <c r="C9" s="59"/>
      <c r="D9" s="59"/>
      <c r="E9" s="59"/>
      <c r="F9" s="59"/>
      <c r="G9" s="59"/>
      <c r="H9" s="59"/>
      <c r="I9" s="59"/>
    </row>
    <row r="10" spans="1:9" ht="14.25" customHeight="1" x14ac:dyDescent="0.2">
      <c r="A10" s="59"/>
      <c r="B10" s="23" t="s">
        <v>126</v>
      </c>
      <c r="C10" s="59"/>
      <c r="D10" s="59"/>
      <c r="E10" s="59"/>
      <c r="F10" s="59"/>
      <c r="G10" s="59"/>
      <c r="H10" s="59"/>
      <c r="I10" s="59"/>
    </row>
    <row r="11" spans="1:9" ht="14.25" customHeight="1" x14ac:dyDescent="0.2">
      <c r="A11" s="59"/>
      <c r="B11" s="59"/>
      <c r="C11" s="59"/>
      <c r="D11" s="59"/>
      <c r="E11" s="59"/>
      <c r="F11" s="59"/>
      <c r="G11" s="59"/>
      <c r="H11" s="59"/>
      <c r="I11" s="59"/>
    </row>
    <row r="12" spans="1:9" ht="14.25" customHeight="1" x14ac:dyDescent="0.2">
      <c r="A12" s="59"/>
      <c r="B12" s="59"/>
      <c r="C12" s="59"/>
      <c r="D12" s="59"/>
      <c r="E12" s="59"/>
      <c r="F12" s="59"/>
      <c r="G12" s="59"/>
      <c r="H12" s="59"/>
      <c r="I12" s="59"/>
    </row>
    <row r="13" spans="1:9" ht="14.25" customHeight="1" x14ac:dyDescent="0.2">
      <c r="A13" s="59"/>
      <c r="B13" s="23" t="s">
        <v>123</v>
      </c>
      <c r="C13" s="23" t="s">
        <v>230</v>
      </c>
      <c r="D13" s="23" t="s">
        <v>125</v>
      </c>
      <c r="E13" s="59"/>
      <c r="F13" s="59"/>
      <c r="G13" s="59"/>
      <c r="H13" s="59"/>
      <c r="I13" s="59"/>
    </row>
    <row r="14" spans="1:9" ht="14.25" customHeight="1" x14ac:dyDescent="0.2">
      <c r="A14" s="59"/>
      <c r="B14" s="23" t="s">
        <v>21</v>
      </c>
      <c r="C14" s="23" t="s">
        <v>21</v>
      </c>
      <c r="D14" s="23" t="s">
        <v>21</v>
      </c>
      <c r="E14" s="59"/>
      <c r="F14" s="59"/>
      <c r="G14" s="59"/>
      <c r="H14" s="59"/>
      <c r="I14" s="59"/>
    </row>
    <row r="15" spans="1:9" ht="14.25" customHeight="1" x14ac:dyDescent="0.2">
      <c r="A15" s="59"/>
      <c r="B15" s="23" t="s">
        <v>25</v>
      </c>
      <c r="C15" s="23" t="s">
        <v>25</v>
      </c>
      <c r="D15" s="23" t="s">
        <v>25</v>
      </c>
      <c r="E15" s="59"/>
      <c r="F15" s="59"/>
      <c r="G15" s="59"/>
      <c r="H15" s="59"/>
      <c r="I15" s="59"/>
    </row>
    <row r="16" spans="1:9" ht="14.25" customHeight="1" x14ac:dyDescent="0.2">
      <c r="A16" s="59"/>
      <c r="B16" s="23" t="s">
        <v>124</v>
      </c>
      <c r="C16" s="23" t="s">
        <v>124</v>
      </c>
      <c r="D16" s="23" t="s">
        <v>124</v>
      </c>
      <c r="E16" s="59"/>
      <c r="F16" s="59"/>
      <c r="G16" s="59"/>
      <c r="H16" s="59"/>
      <c r="I16" s="59"/>
    </row>
    <row r="17" spans="1:9" ht="14.25" customHeight="1" x14ac:dyDescent="0.2">
      <c r="A17" s="59"/>
      <c r="B17" s="59"/>
      <c r="C17" s="23" t="s">
        <v>31</v>
      </c>
      <c r="D17" s="23" t="s">
        <v>31</v>
      </c>
      <c r="E17" s="59"/>
      <c r="F17" s="59"/>
      <c r="G17" s="59"/>
      <c r="H17" s="59"/>
      <c r="I17" s="59"/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57247665-1F1B-43D7-B18C-0A3F7C8975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1a789ed-3b06-4a12-abcb-8250f314dd0b"/>
    <ds:schemaRef ds:uri="44678d20-5b6e-4792-b133-ca784477d689"/>
  </ds:schemaRefs>
</ds:datastoreItem>
</file>

<file path=customXml/itemProps2.xml><?xml version="1.0" encoding="utf-8"?>
<ds:datastoreItem xmlns:ds="http://schemas.openxmlformats.org/officeDocument/2006/customXml" ds:itemID="{477F2F74-B699-4BAF-BF91-1B4993ED5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BF5877-BBE5-4138-A8E2-C536F01114BB}">
  <ds:schemaRefs>
    <ds:schemaRef ds:uri="http://schemas.microsoft.com/office/2006/metadata/properties"/>
    <ds:schemaRef ds:uri="http://www.w3.org/2000/xmlns/"/>
    <ds:schemaRef ds:uri="01a789ed-3b06-4a12-abcb-8250f314dd0b"/>
    <ds:schemaRef ds:uri="http://www.w3.org/2001/XMLSchema-instance"/>
    <ds:schemaRef ds:uri="http://schemas.microsoft.com/office/infopath/2007/PartnerControls"/>
    <ds:schemaRef ds:uri="44678d20-5b6e-4792-b133-ca784477d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24</vt:i4>
      </vt:variant>
    </vt:vector>
  </HeadingPairs>
  <TitlesOfParts>
    <vt:vector size="35" baseType="lpstr">
      <vt:lpstr>Fossil Fuel</vt:lpstr>
      <vt:lpstr>Fugitive</vt:lpstr>
      <vt:lpstr>Electricity</vt:lpstr>
      <vt:lpstr>Water</vt:lpstr>
      <vt:lpstr>Waste</vt:lpstr>
      <vt:lpstr>Travel</vt:lpstr>
      <vt:lpstr>Offset</vt:lpstr>
      <vt:lpstr>Secondary Data</vt:lpstr>
      <vt:lpstr>Summary</vt:lpstr>
      <vt:lpstr>Footprint</vt:lpstr>
      <vt:lpstr>Dropdowns</vt:lpstr>
      <vt:lpstr>CNG</vt:lpstr>
      <vt:lpstr>Commercial_and_Industrial_Waste</vt:lpstr>
      <vt:lpstr>Diesel</vt:lpstr>
      <vt:lpstr>Food_and_Drink_Waste</vt:lpstr>
      <vt:lpstr>Garden_Waste</vt:lpstr>
      <vt:lpstr>Household_Residue</vt:lpstr>
      <vt:lpstr>Large_Sized_Car</vt:lpstr>
      <vt:lpstr>LPG</vt:lpstr>
      <vt:lpstr>Medium_Sized_Car</vt:lpstr>
      <vt:lpstr>Personal</vt:lpstr>
      <vt:lpstr>Petrol_Gasoline</vt:lpstr>
      <vt:lpstr>PNG</vt:lpstr>
      <vt:lpstr>Dropdowns!Print_Area</vt:lpstr>
      <vt:lpstr>Electricity!Print_Area</vt:lpstr>
      <vt:lpstr>Fossil Fuel!Print_Area</vt:lpstr>
      <vt:lpstr>Fugitive!Print_Area</vt:lpstr>
      <vt:lpstr>Offset!Print_Area</vt:lpstr>
      <vt:lpstr>Secondary Data!Print_Area</vt:lpstr>
      <vt:lpstr>Summary!Print_Area</vt:lpstr>
      <vt:lpstr>Travel!Print_Area</vt:lpstr>
      <vt:lpstr>Waste!Print_Area</vt:lpstr>
      <vt:lpstr>Water!Print_Area</vt:lpstr>
      <vt:lpstr>Public</vt:lpstr>
      <vt:lpstr>Small_Sized_Car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Pandey</dc:creator>
  <cp:keywords/>
  <dc:description/>
  <cp:lastModifiedBy>Tanmay Lalge</cp:lastModifiedBy>
  <cp:revision>2</cp:revision>
  <dcterms:created xsi:type="dcterms:W3CDTF">2023-09-11T02:40:41Z</dcterms:created>
  <dcterms:modified xsi:type="dcterms:W3CDTF">2026-08-10T17:07:01Z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  <property fmtid="{D5CDD505-2E9C-101B-9397-08002B2CF9AE}" pid="3" name="MediaServiceImageTags">
    <vt:lpwstr/>
  </property>
</Properties>
</file>